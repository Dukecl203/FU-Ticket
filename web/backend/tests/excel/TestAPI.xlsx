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3F380CC-AD80-4775-91C0-EF26253A5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idleline" sheetId="1" r:id="rId1"/>
    <sheet name="Cover" sheetId="2" r:id="rId2"/>
    <sheet name="FunctionList" sheetId="3" r:id="rId3"/>
    <sheet name="Test Report" sheetId="4" r:id="rId4"/>
    <sheet name="Login" sheetId="5" r:id="rId5"/>
    <sheet name="Update Profile" sheetId="6" r:id="rId6"/>
    <sheet name="Create Facility" sheetId="7" r:id="rId7"/>
    <sheet name="Update Facility" sheetId="8" r:id="rId8"/>
  </sheets>
  <definedNames>
    <definedName name="ACTION">#REF!</definedName>
    <definedName name="Z_2C0D9096_8D85_462A_A9B5_0B488ADB4269_.wvu.Cols" localSheetId="6">'Create Facility'!$E:$E</definedName>
    <definedName name="Z_2C0D9096_8D85_462A_A9B5_0B488ADB4269_.wvu.Cols" localSheetId="4">Login!$E:$E</definedName>
    <definedName name="Z_2C0D9096_8D85_462A_A9B5_0B488ADB4269_.wvu.Cols" localSheetId="7">'Update Facility'!$E:$E</definedName>
    <definedName name="Z_2C0D9096_8D85_462A_A9B5_0B488ADB4269_.wvu.Cols" localSheetId="5">'Update Profile'!$E:$E</definedName>
    <definedName name="Z_2C0D9096_8D85_462A_A9B5_0B488ADB4269_.wvu.PrintArea" localSheetId="3">'Test Report'!$A:$I</definedName>
    <definedName name="Z_6F1DCD5D_5DAC_4817_BF40_2B66F6F593E6_.wvu.Cols" localSheetId="6">'Create Facility'!$E:$E</definedName>
    <definedName name="Z_6F1DCD5D_5DAC_4817_BF40_2B66F6F593E6_.wvu.Cols" localSheetId="4">Login!$E:$E</definedName>
    <definedName name="Z_6F1DCD5D_5DAC_4817_BF40_2B66F6F593E6_.wvu.Cols" localSheetId="7">'Update Facility'!$E:$E</definedName>
    <definedName name="Z_6F1DCD5D_5DAC_4817_BF40_2B66F6F593E6_.wvu.Cols" localSheetId="5">'Update Profile'!$E:$E</definedName>
    <definedName name="Z_6F1DCD5D_5DAC_4817_BF40_2B66F6F593E6_.wvu.PrintArea" localSheetId="3">'Test Report'!$A:$I</definedName>
    <definedName name="Z_BE54E0AD_3725_4423_92D7_4F1C045BE1BC_.wvu.Cols" localSheetId="6">'Create Facility'!$E:$E</definedName>
    <definedName name="Z_BE54E0AD_3725_4423_92D7_4F1C045BE1BC_.wvu.Cols" localSheetId="4">Login!$E:$E</definedName>
    <definedName name="Z_BE54E0AD_3725_4423_92D7_4F1C045BE1BC_.wvu.Cols" localSheetId="7">'Update Facility'!$E:$E</definedName>
    <definedName name="Z_BE54E0AD_3725_4423_92D7_4F1C045BE1BC_.wvu.Cols" localSheetId="5">'Update Profile'!$E:$E</definedName>
    <definedName name="Z_BE54E0AD_3725_4423_92D7_4F1C045BE1BC_.wvu.PrintArea" localSheetId="3">'Test Report'!$A:$I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8" l="1"/>
  <c r="F7" i="8"/>
  <c r="L4" i="8"/>
  <c r="L2" i="8"/>
  <c r="C2" i="8"/>
  <c r="O7" i="7"/>
  <c r="N7" i="7"/>
  <c r="H14" i="4" s="1"/>
  <c r="M7" i="7"/>
  <c r="G14" i="4" s="1"/>
  <c r="L7" i="7"/>
  <c r="F14" i="4" s="1"/>
  <c r="C7" i="7"/>
  <c r="D14" i="4" s="1"/>
  <c r="A7" i="7"/>
  <c r="C14" i="4" s="1"/>
  <c r="L4" i="7"/>
  <c r="O7" i="6"/>
  <c r="N7" i="6"/>
  <c r="H13" i="4" s="1"/>
  <c r="M7" i="6"/>
  <c r="G13" i="4" s="1"/>
  <c r="L7" i="6"/>
  <c r="F13" i="4" s="1"/>
  <c r="C7" i="6"/>
  <c r="D13" i="4" s="1"/>
  <c r="A7" i="6"/>
  <c r="F7" i="6" s="1"/>
  <c r="E13" i="4" s="1"/>
  <c r="L4" i="6"/>
  <c r="L2" i="6"/>
  <c r="C2" i="6"/>
  <c r="O7" i="5"/>
  <c r="N7" i="5"/>
  <c r="H12" i="4" s="1"/>
  <c r="M7" i="5"/>
  <c r="G12" i="4" s="1"/>
  <c r="L7" i="5"/>
  <c r="F12" i="4" s="1"/>
  <c r="C7" i="5"/>
  <c r="D12" i="4" s="1"/>
  <c r="D17" i="4" s="1"/>
  <c r="A7" i="5"/>
  <c r="C12" i="4" s="1"/>
  <c r="L4" i="5"/>
  <c r="L2" i="5"/>
  <c r="C2" i="5"/>
  <c r="I14" i="4"/>
  <c r="I13" i="4"/>
  <c r="I12" i="4"/>
  <c r="I17" i="4" s="1"/>
  <c r="B5" i="4"/>
  <c r="B6" i="4" s="1"/>
  <c r="B4" i="4"/>
  <c r="E5" i="3"/>
  <c r="E4" i="3"/>
  <c r="B6" i="2"/>
  <c r="F17" i="4" l="1"/>
  <c r="D21" i="4" s="1"/>
  <c r="H17" i="4"/>
  <c r="D23" i="4" s="1"/>
  <c r="G17" i="4"/>
  <c r="D22" i="4" s="1"/>
  <c r="F7" i="7"/>
  <c r="E14" i="4" s="1"/>
  <c r="F7" i="5"/>
  <c r="E12" i="4" s="1"/>
  <c r="E17" i="4" s="1"/>
  <c r="C13" i="4"/>
  <c r="C17" i="4" s="1"/>
  <c r="D20" i="4" l="1"/>
  <c r="D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100-000001000000}">
      <text>
        <r>
          <rPr>
            <sz val="11"/>
            <color rgb="FF000000"/>
            <rFont val="MS PGothic"/>
            <scheme val="minor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400-000001000000}">
      <text>
        <r>
          <rPr>
            <sz val="11"/>
            <color rgb="FF000000"/>
            <rFont val="MS PGothic"/>
            <scheme val="minor"/>
          </rPr>
          <t xml:space="preserve">Not mandatory
</t>
        </r>
      </text>
    </comment>
    <comment ref="C10" authorId="0" shapeId="0" xr:uid="{00000000-0006-0000-0400-000002000000}">
      <text>
        <r>
          <rPr>
            <sz val="11"/>
            <color rgb="FF000000"/>
            <rFont val="MS PGothic"/>
            <scheme val="minor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500-000001000000}">
      <text>
        <r>
          <rPr>
            <sz val="11"/>
            <color rgb="FF000000"/>
            <rFont val="MS PGothic"/>
            <scheme val="minor"/>
          </rPr>
          <t xml:space="preserve">
Not mandatory
</t>
        </r>
      </text>
    </comment>
    <comment ref="C10" authorId="0" shapeId="0" xr:uid="{00000000-0006-0000-0500-000002000000}">
      <text>
        <r>
          <rPr>
            <sz val="11"/>
            <color rgb="FF000000"/>
            <rFont val="MS PGothic"/>
            <scheme val="minor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600-000001000000}">
      <text>
        <r>
          <rPr>
            <sz val="11"/>
            <color rgb="FF000000"/>
            <rFont val="MS PGothic"/>
            <scheme val="minor"/>
          </rPr>
          <t xml:space="preserve">
Not mandatory
</t>
        </r>
      </text>
    </comment>
    <comment ref="C10" authorId="0" shapeId="0" xr:uid="{00000000-0006-0000-0600-000002000000}">
      <text>
        <r>
          <rPr>
            <sz val="11"/>
            <color rgb="FF000000"/>
            <rFont val="MS PGothic"/>
            <scheme val="minor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700-000001000000}">
      <text>
        <r>
          <rPr>
            <sz val="11"/>
            <color rgb="FF000000"/>
            <rFont val="MS PGothic"/>
            <scheme val="minor"/>
          </rPr>
          <t xml:space="preserve">
Not mandatory
</t>
        </r>
      </text>
    </comment>
    <comment ref="C10" authorId="0" shapeId="0" xr:uid="{00000000-0006-0000-0700-000002000000}">
      <text>
        <r>
          <rPr>
            <sz val="11"/>
            <color rgb="FF000000"/>
            <rFont val="MS PGothic"/>
            <scheme val="minor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<sst xmlns="http://schemas.openxmlformats.org/spreadsheetml/2006/main" count="636" uniqueCount="193">
  <si>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</si>
  <si>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</si>
  <si>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</si>
  <si>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sz val="10"/>
        <color theme="1"/>
        <rFont val="Tahoma"/>
      </rPr>
      <t xml:space="preserve"> - </t>
    </r>
    <r>
      <rPr>
        <b/>
        <sz val="10"/>
        <color theme="1"/>
        <rFont val="Tahoma"/>
      </rPr>
      <t>Cover</t>
    </r>
    <r>
      <rPr>
        <sz val="10"/>
        <color theme="1"/>
        <rFont val="Tahoma"/>
      </rPr>
      <t>: General information of the project and Unit Test cases</t>
    </r>
  </si>
  <si>
    <r>
      <rPr>
        <sz val="10"/>
        <color theme="1"/>
        <rFont val="Tahoma"/>
      </rPr>
      <t xml:space="preserve"> - </t>
    </r>
    <r>
      <rPr>
        <b/>
        <sz val="10"/>
        <color theme="1"/>
        <rFont val="Tahoma"/>
      </rPr>
      <t>FunctionList</t>
    </r>
    <r>
      <rPr>
        <sz val="10"/>
        <color theme="1"/>
        <rFont val="Tahoma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</si>
  <si>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sz val="10"/>
        <color theme="1"/>
        <rFont val="Tahoma"/>
      </rPr>
      <t xml:space="preserve">     + Click on Function link to open the related Test cases of the function.  
     </t>
    </r>
    <r>
      <rPr>
        <i/>
        <sz val="10"/>
        <color theme="1"/>
        <rFont val="Tahoma"/>
      </rPr>
      <t>Note:</t>
    </r>
    <r>
      <rPr>
        <sz val="10"/>
        <color theme="1"/>
        <rFont val="Tahoma"/>
      </rPr>
      <t xml:space="preserve"> You should create new Function sheet before creating the link</t>
    </r>
  </si>
  <si>
    <r>
      <rPr>
        <sz val="10"/>
        <color theme="1"/>
        <rFont val="Tahoma"/>
      </rPr>
      <t xml:space="preserve"> - </t>
    </r>
    <r>
      <rPr>
        <b/>
        <sz val="10"/>
        <color theme="1"/>
        <rFont val="Tahoma"/>
      </rPr>
      <t>Test Report</t>
    </r>
    <r>
      <rPr>
        <sz val="10"/>
        <color theme="1"/>
        <rFont val="Tahoma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</si>
  <si>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</si>
  <si>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</si>
  <si>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</si>
  <si>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</si>
  <si>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</si>
  <si>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</si>
  <si>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</si>
  <si>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</si>
  <si>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</si>
  <si>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</si>
  <si>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</si>
  <si>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</si>
  <si>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</si>
  <si>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</si>
  <si>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</si>
  <si>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</si>
  <si>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</si>
  <si>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</si>
  <si>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</si>
  <si>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</si>
  <si>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</si>
  <si>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</si>
  <si>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</si>
  <si>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</si>
  <si>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</si>
  <si>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</si>
  <si>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</si>
  <si>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</si>
  <si>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</si>
  <si>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sz val="10"/>
        <color theme="1"/>
        <rFont val="Tahoma"/>
      </rPr>
      <t xml:space="preserve">        - Test case result: the actual output results comparing with the Confirmation.
                 </t>
    </r>
    <r>
      <rPr>
        <b/>
        <sz val="10"/>
        <color theme="1"/>
        <rFont val="Tahoma"/>
      </rPr>
      <t>P</t>
    </r>
    <r>
      <rPr>
        <sz val="10"/>
        <color theme="1"/>
        <rFont val="Tahoma"/>
      </rPr>
      <t xml:space="preserve"> for Passed and </t>
    </r>
    <r>
      <rPr>
        <b/>
        <sz val="10"/>
        <color theme="1"/>
        <rFont val="Tahoma"/>
      </rPr>
      <t>F</t>
    </r>
    <r>
      <rPr>
        <sz val="10"/>
        <color theme="1"/>
        <rFont val="Tahoma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</si>
  <si>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</si>
  <si>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</si>
  <si>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</si>
  <si>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</si>
  <si>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</si>
  <si>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</si>
  <si>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</si>
  <si>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</si>
  <si>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</si>
  <si>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</si>
  <si>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&lt;Facilities Management System&gt;</t>
  </si>
  <si>
    <t>Creator</t>
  </si>
  <si>
    <t>KietHT</t>
  </si>
  <si>
    <t>Project Code</t>
  </si>
  <si>
    <t>&lt;FMS&gt;</t>
  </si>
  <si>
    <t>Reviewer/Approver</t>
  </si>
  <si>
    <t>Group 3</t>
  </si>
  <si>
    <t>Document Code</t>
  </si>
  <si>
    <t>Issue Date</t>
  </si>
  <si>
    <t>&lt;25/10/2024&gt;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</si>
  <si>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</si>
  <si>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</si>
  <si>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</si>
  <si>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</si>
  <si>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</si>
  <si>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</si>
  <si>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</si>
  <si>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</si>
  <si>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Cover, FunctionList, Login</t>
  </si>
  <si>
    <t>A</t>
  </si>
  <si>
    <t>Add cover, FunctionList, Unit test for login</t>
  </si>
  <si>
    <t>Update Profile, Create Facility</t>
  </si>
  <si>
    <t>Add unit test for update profile and create facility</t>
  </si>
  <si>
    <t>UNIT TEST CASE LIST</t>
  </si>
  <si>
    <t xml:space="preserve">Normal number of Test cases/KLOC </t>
  </si>
  <si>
    <t>Test Environment Setup Description</t>
  </si>
  <si>
    <t>&lt;List enviroment requires in this system
1. Server
2. Database
3. Web Browser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</si>
  <si>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</si>
  <si>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</si>
  <si>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</si>
  <si>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</si>
  <si>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</si>
  <si>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</si>
  <si>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</si>
  <si>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</si>
  <si>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Login</t>
  </si>
  <si>
    <t>User Profile</t>
  </si>
  <si>
    <t>Update Profile</t>
  </si>
  <si>
    <t>Facility</t>
  </si>
  <si>
    <t>Create Facility</t>
  </si>
  <si>
    <t>Update Facility</t>
  </si>
  <si>
    <t>UNIT TEST REPORT</t>
  </si>
  <si>
    <t>G3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</si>
  <si>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</si>
  <si>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</si>
  <si>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</si>
  <si>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</si>
  <si>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</si>
  <si>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</si>
  <si>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</si>
  <si>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</si>
  <si>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Create Faciilities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</si>
  <si>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</si>
  <si>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</si>
  <si>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</si>
  <si>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</si>
  <si>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</si>
  <si>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</si>
  <si>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</si>
  <si>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</si>
  <si>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</si>
  <si>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</si>
  <si>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</si>
  <si>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</si>
  <si>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</si>
  <si>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</si>
  <si>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UTCID01</t>
  </si>
  <si>
    <t>UTCID02</t>
  </si>
  <si>
    <t>UTCID03</t>
  </si>
  <si>
    <t>Condition</t>
  </si>
  <si>
    <t xml:space="preserve">Precondition </t>
  </si>
  <si>
    <t>Can connect with server</t>
  </si>
  <si>
    <t>O</t>
  </si>
  <si>
    <t>Already have email</t>
  </si>
  <si>
    <t>Email</t>
  </si>
  <si>
    <t>FPT email</t>
  </si>
  <si>
    <t>Normal email</t>
  </si>
  <si>
    <t>Status</t>
  </si>
  <si>
    <t>Confirm</t>
  </si>
  <si>
    <t>Return</t>
  </si>
  <si>
    <t>T</t>
  </si>
  <si>
    <t>F</t>
  </si>
  <si>
    <t>Exception</t>
  </si>
  <si>
    <t>Log message</t>
  </si>
  <si>
    <t>"login successfully"</t>
  </si>
  <si>
    <t>"you have to login with FPT email"</t>
  </si>
  <si>
    <t>"Account has ban ! "</t>
  </si>
  <si>
    <t>Result</t>
  </si>
  <si>
    <t>Type(N : Normal, A : Abnormal, B : Boundary)</t>
  </si>
  <si>
    <t>Passed/Failed</t>
  </si>
  <si>
    <t>P</t>
  </si>
  <si>
    <t>Executed Date</t>
  </si>
  <si>
    <t>Defect ID</t>
  </si>
  <si>
    <t>&lt;Brief description about requirements which are tested in this function&gt;</t>
  </si>
  <si>
    <t>UTCID04</t>
  </si>
  <si>
    <t>UTCID05</t>
  </si>
  <si>
    <t>UTCID06</t>
  </si>
  <si>
    <t>UTCID07</t>
  </si>
  <si>
    <t>UTCID08</t>
  </si>
  <si>
    <t>UTCID09</t>
  </si>
  <si>
    <t>UTCID10</t>
  </si>
  <si>
    <t>User's detail is loaded</t>
  </si>
  <si>
    <t>Tên (tối đa 100 ký tự, k cho ký tự đặc biệt)</t>
  </si>
  <si>
    <t>"Đặng Quế Anh"</t>
  </si>
  <si>
    <t>100 ký tự</t>
  </si>
  <si>
    <t>101 ký tự</t>
  </si>
  <si>
    <t>""</t>
  </si>
  <si>
    <t>"Nguyễn*Anh Tú"</t>
  </si>
  <si>
    <t>Địa chỉ (1000 Ký tự)</t>
  </si>
  <si>
    <t>1000 ký tự</t>
  </si>
  <si>
    <t>1001 ký tự</t>
  </si>
  <si>
    <t xml:space="preserve">thôn 2, Kim Bông - Tân Xã - Thạch Thất </t>
  </si>
  <si>
    <t>Số điện thoại (10 số, bắt đầu bằng số 0 )</t>
  </si>
  <si>
    <t>"0968044126"</t>
  </si>
  <si>
    <t>"1234567890"</t>
  </si>
  <si>
    <t>"11111111111"</t>
  </si>
  <si>
    <t>"111111111"</t>
  </si>
  <si>
    <t>"update profile successfully"</t>
  </si>
  <si>
    <t>"Name must be at least 1 character"</t>
  </si>
  <si>
    <t>"Name must be &lt;= 100 character"</t>
  </si>
  <si>
    <t>"Name can not contain special character"</t>
  </si>
  <si>
    <t>"Address must be &lt;= 1000 character"</t>
  </si>
  <si>
    <t>"Phone number must be start with 0"</t>
  </si>
  <si>
    <t>"Phone number must be 10 numbers"</t>
  </si>
  <si>
    <t>UP-01</t>
  </si>
  <si>
    <t>User login with role admin</t>
  </si>
  <si>
    <t>name ( Tối đa 100 ký tự )</t>
  </si>
  <si>
    <t>"Phan Quang"</t>
  </si>
  <si>
    <t>image ( &lt;= 5MB )</t>
  </si>
  <si>
    <t>Ảnh 5MB</t>
  </si>
  <si>
    <t>Ảnh 6MB</t>
  </si>
  <si>
    <t>Ảnh 4MB</t>
  </si>
  <si>
    <t>status (0 và 1 )</t>
  </si>
  <si>
    <t>location ( Tối đa 1000 ký tự )</t>
  </si>
  <si>
    <t>Tòa Delta, Đại học FPT</t>
  </si>
  <si>
    <t>"success"</t>
  </si>
  <si>
    <t>"Only admin can action with facility"</t>
  </si>
  <si>
    <t>"Image can be exeed 5MB"</t>
  </si>
  <si>
    <t>"Location cannot be empty"</t>
  </si>
  <si>
    <t>"Name can not be empty"</t>
  </si>
  <si>
    <t>"Max length of location is 1000"</t>
  </si>
  <si>
    <t>"Max length of name is 100"</t>
  </si>
  <si>
    <t>CF-01</t>
  </si>
  <si>
    <t>CF-02</t>
  </si>
  <si>
    <t>"Hoang Kiet"</t>
  </si>
  <si>
    <t>UF-01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</si>
</sst>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d/m/yyyy"/>
    <numFmt numFmtId="166" formatCode="mm/dd"/>
  </numFmts>
  <fonts count="35" x14ac:knownFonts="1">
    <font>
      <sz val="11"/>
      <color rgb="FF000000"/>
      <name val="MS PGothic"/>
      <scheme val="minor"/>
    </font>
    <font>
      <b/>
      <sz val="18"/>
      <color theme="1"/>
      <name val="Tahoma"/>
    </font>
    <font>
      <b/>
      <sz val="11"/>
      <color theme="1"/>
      <name val="Tahoma"/>
    </font>
    <font>
      <b/>
      <sz val="12"/>
      <color theme="1"/>
      <name val="Tahoma"/>
    </font>
    <font>
      <b/>
      <sz val="14"/>
      <color theme="1"/>
      <name val="Tahoma"/>
    </font>
    <font>
      <sz val="10"/>
      <color theme="1"/>
      <name val="Tahoma"/>
    </font>
    <font>
      <sz val="11"/>
      <color theme="1"/>
      <name val="Tahoma"/>
    </font>
    <font>
      <i/>
      <sz val="10"/>
      <color theme="1"/>
      <name val="Tahoma"/>
    </font>
    <font>
      <i/>
      <sz val="11"/>
      <color theme="1"/>
      <name val="Tahoma"/>
    </font>
    <font>
      <b/>
      <sz val="10"/>
      <color theme="1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MS PGothic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u/>
      <sz val="11"/>
      <color rgb="FF0000FF"/>
      <name val="Tahoma"/>
    </font>
    <font>
      <sz val="10"/>
      <color rgb="FFFFFFFF"/>
      <name val="Tahoma"/>
    </font>
    <font>
      <b/>
      <sz val="11"/>
      <color rgb="FFFFFFFF"/>
      <name val="Tahoma"/>
    </font>
    <font>
      <sz val="10"/>
      <color rgb="FF000000"/>
      <name val="Tahoma"/>
    </font>
    <font>
      <sz val="11"/>
      <color theme="1"/>
      <name val="MS PGothic"/>
    </font>
    <font>
      <b/>
      <sz val="8"/>
      <color theme="1"/>
      <name val="Tahoma"/>
    </font>
    <font>
      <i/>
      <sz val="8"/>
      <color theme="1"/>
      <name val="Tahoma"/>
    </font>
    <font>
      <sz val="8"/>
      <color theme="1"/>
      <name val="Tahoma"/>
    </font>
    <font>
      <b/>
      <sz val="8"/>
      <color rgb="FFFFFFFF"/>
      <name val="Tahoma"/>
    </font>
    <font>
      <sz val="11"/>
      <color theme="1"/>
      <name val="MS PGothic"/>
      <scheme val="minor"/>
    </font>
    <font>
      <sz val="8"/>
      <color rgb="FFFFFFFF"/>
      <name val="Tahoma"/>
    </font>
    <font>
      <b/>
      <sz val="12"/>
      <color theme="1"/>
      <name val="Courier New"/>
    </font>
    <font>
      <b/>
      <sz val="8"/>
      <color theme="1"/>
      <name val="Courier New"/>
    </font>
    <font>
      <sz val="8"/>
      <color theme="1"/>
      <name val="Courier New"/>
    </font>
    <font>
      <sz val="8"/>
      <color rgb="FF008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328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5" fillId="3" borderId="1" xfId="0" applyFont="1" applyFill="1" applyBorder="1" applyAlignment="1"/>
    <xf numFmtId="0" fontId="9" fillId="3" borderId="5" xfId="0" applyFont="1" applyFill="1" applyBorder="1" applyAlignment="1">
      <alignment horizontal="left"/>
    </xf>
    <xf numFmtId="0" fontId="5" fillId="0" borderId="4" xfId="0" applyFont="1" applyBorder="1" applyAlignment="1"/>
    <xf numFmtId="0" fontId="7" fillId="0" borderId="4" xfId="0" applyFont="1" applyBorder="1" applyAlignment="1"/>
    <xf numFmtId="0" fontId="7" fillId="0" borderId="4" xfId="0" applyFont="1" applyBorder="1" applyAlignment="1">
      <alignment horizontal="left"/>
    </xf>
    <xf numFmtId="0" fontId="9" fillId="0" borderId="0" xfId="0" applyFont="1" applyAlignme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15" fillId="4" borderId="14" xfId="0" applyNumberFormat="1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7" fillId="0" borderId="17" xfId="0" applyNumberFormat="1" applyFont="1" applyBorder="1" applyAlignment="1">
      <alignment vertical="top" wrapText="1"/>
    </xf>
    <xf numFmtId="49" fontId="5" fillId="0" borderId="18" xfId="0" applyNumberFormat="1" applyFont="1" applyBorder="1" applyAlignment="1">
      <alignment vertical="top"/>
    </xf>
    <xf numFmtId="0" fontId="5" fillId="0" borderId="18" xfId="0" applyFont="1" applyBorder="1" applyAlignment="1">
      <alignment vertical="top" wrapText="1"/>
    </xf>
    <xf numFmtId="0" fontId="5" fillId="0" borderId="18" xfId="0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0" borderId="19" xfId="0" applyFont="1" applyBorder="1" applyAlignment="1">
      <alignment vertical="top"/>
    </xf>
    <xf numFmtId="164" fontId="5" fillId="0" borderId="17" xfId="0" applyNumberFormat="1" applyFont="1" applyBorder="1" applyAlignment="1">
      <alignment vertical="top"/>
    </xf>
    <xf numFmtId="164" fontId="5" fillId="0" borderId="20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vertical="top"/>
    </xf>
    <xf numFmtId="1" fontId="5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7" fillId="3" borderId="23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0" fontId="7" fillId="3" borderId="25" xfId="0" applyFont="1" applyFill="1" applyBorder="1" applyAlignment="1">
      <alignment horizontal="left"/>
    </xf>
    <xf numFmtId="0" fontId="5" fillId="3" borderId="1" xfId="0" applyFont="1" applyFill="1" applyBorder="1" applyAlignment="1">
      <alignment wrapText="1"/>
    </xf>
    <xf numFmtId="1" fontId="13" fillId="3" borderId="1" xfId="0" applyNumberFormat="1" applyFont="1" applyFill="1" applyBorder="1" applyAlignment="1"/>
    <xf numFmtId="1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1" fontId="15" fillId="5" borderId="14" xfId="0" applyNumberFormat="1" applyFont="1" applyFill="1" applyBorder="1" applyAlignment="1">
      <alignment horizontal="center" vertical="center"/>
    </xf>
    <xf numFmtId="1" fontId="15" fillId="5" borderId="26" xfId="0" applyNumberFormat="1" applyFont="1" applyFill="1" applyBorder="1" applyAlignment="1">
      <alignment horizontal="center" vertical="center" wrapText="1"/>
    </xf>
    <xf numFmtId="1" fontId="15" fillId="5" borderId="26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" fontId="5" fillId="3" borderId="17" xfId="0" applyNumberFormat="1" applyFont="1" applyFill="1" applyBorder="1" applyAlignment="1">
      <alignment horizontal="center" vertical="center"/>
    </xf>
    <xf numFmtId="1" fontId="5" fillId="3" borderId="28" xfId="0" applyNumberFormat="1" applyFont="1" applyFill="1" applyBorder="1" applyAlignment="1">
      <alignment vertical="center"/>
    </xf>
    <xf numFmtId="49" fontId="5" fillId="3" borderId="18" xfId="0" applyNumberFormat="1" applyFont="1" applyFill="1" applyBorder="1" applyAlignment="1">
      <alignment horizontal="left" vertical="center"/>
    </xf>
    <xf numFmtId="49" fontId="5" fillId="3" borderId="18" xfId="0" applyNumberFormat="1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1" fontId="5" fillId="3" borderId="20" xfId="0" applyNumberFormat="1" applyFont="1" applyFill="1" applyBorder="1" applyAlignment="1">
      <alignment horizontal="center" vertical="center"/>
    </xf>
    <xf numFmtId="1" fontId="5" fillId="3" borderId="29" xfId="0" applyNumberFormat="1" applyFont="1" applyFill="1" applyBorder="1" applyAlignment="1">
      <alignment vertical="center"/>
    </xf>
    <xf numFmtId="49" fontId="5" fillId="3" borderId="21" xfId="0" applyNumberFormat="1" applyFont="1" applyFill="1" applyBorder="1" applyAlignment="1">
      <alignment horizontal="left" vertical="center"/>
    </xf>
    <xf numFmtId="49" fontId="5" fillId="3" borderId="21" xfId="0" applyNumberFormat="1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/>
    </xf>
    <xf numFmtId="0" fontId="5" fillId="3" borderId="22" xfId="0" applyFont="1" applyFill="1" applyBorder="1" applyAlignment="1">
      <alignment horizontal="left" vertical="center"/>
    </xf>
    <xf numFmtId="0" fontId="9" fillId="3" borderId="1" xfId="0" applyFont="1" applyFill="1" applyBorder="1" applyAlignment="1"/>
    <xf numFmtId="164" fontId="5" fillId="3" borderId="1" xfId="0" applyNumberFormat="1" applyFont="1" applyFill="1" applyBorder="1" applyAlignment="1"/>
    <xf numFmtId="0" fontId="9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vertical="center"/>
    </xf>
    <xf numFmtId="0" fontId="13" fillId="3" borderId="1" xfId="0" applyFont="1" applyFill="1" applyBorder="1" applyAlignment="1"/>
    <xf numFmtId="0" fontId="14" fillId="3" borderId="1" xfId="0" applyFont="1" applyFill="1" applyBorder="1" applyAlignment="1"/>
    <xf numFmtId="0" fontId="15" fillId="4" borderId="26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 wrapText="1"/>
    </xf>
    <xf numFmtId="0" fontId="15" fillId="4" borderId="27" xfId="0" applyFont="1" applyFill="1" applyBorder="1" applyAlignment="1">
      <alignment horizontal="center"/>
    </xf>
    <xf numFmtId="0" fontId="15" fillId="4" borderId="32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 wrapText="1"/>
    </xf>
    <xf numFmtId="0" fontId="5" fillId="3" borderId="28" xfId="0" applyFont="1" applyFill="1" applyBorder="1" applyAlignment="1">
      <alignment horizontal="center"/>
    </xf>
    <xf numFmtId="49" fontId="19" fillId="3" borderId="18" xfId="0" applyNumberFormat="1" applyFont="1" applyFill="1" applyBorder="1" applyAlignment="1"/>
    <xf numFmtId="0" fontId="5" fillId="3" borderId="18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49" fontId="20" fillId="3" borderId="18" xfId="0" applyNumberFormat="1" applyFont="1" applyFill="1" applyBorder="1" applyAlignment="1"/>
    <xf numFmtId="0" fontId="21" fillId="4" borderId="29" xfId="0" applyFont="1" applyFill="1" applyBorder="1" applyAlignment="1">
      <alignment horizontal="center"/>
    </xf>
    <xf numFmtId="0" fontId="22" fillId="4" borderId="1" xfId="0" applyFont="1" applyFill="1" applyBorder="1" applyAlignment="1">
      <alignment vertical="center"/>
    </xf>
    <xf numFmtId="0" fontId="21" fillId="4" borderId="21" xfId="0" applyFont="1" applyFill="1" applyBorder="1" applyAlignment="1">
      <alignment horizontal="center"/>
    </xf>
    <xf numFmtId="0" fontId="21" fillId="4" borderId="3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2" fontId="9" fillId="3" borderId="1" xfId="0" applyNumberFormat="1" applyFont="1" applyFill="1" applyBorder="1" applyAlignment="1">
      <alignment horizontal="right" wrapText="1"/>
    </xf>
    <xf numFmtId="0" fontId="23" fillId="3" borderId="1" xfId="0" applyFont="1" applyFill="1" applyBorder="1" applyAlignment="1">
      <alignment horizontal="center" wrapText="1"/>
    </xf>
    <xf numFmtId="0" fontId="24" fillId="0" borderId="37" xfId="0" applyFont="1" applyBorder="1" applyAlignment="1"/>
    <xf numFmtId="0" fontId="24" fillId="0" borderId="0" xfId="0" applyFont="1" applyAlignment="1"/>
    <xf numFmtId="49" fontId="24" fillId="0" borderId="0" xfId="0" applyNumberFormat="1" applyFont="1" applyAlignment="1"/>
    <xf numFmtId="0" fontId="24" fillId="3" borderId="53" xfId="0" applyFont="1" applyFill="1" applyBorder="1" applyAlignment="1"/>
    <xf numFmtId="0" fontId="24" fillId="3" borderId="54" xfId="0" applyFont="1" applyFill="1" applyBorder="1" applyAlignment="1"/>
    <xf numFmtId="0" fontId="24" fillId="3" borderId="24" xfId="0" applyFont="1" applyFill="1" applyBorder="1" applyAlignment="1"/>
    <xf numFmtId="0" fontId="27" fillId="3" borderId="62" xfId="0" applyFont="1" applyFill="1" applyBorder="1" applyAlignment="1">
      <alignment horizontal="center" vertical="center"/>
    </xf>
    <xf numFmtId="0" fontId="24" fillId="0" borderId="64" xfId="0" applyFont="1" applyBorder="1" applyAlignment="1"/>
    <xf numFmtId="164" fontId="24" fillId="4" borderId="65" xfId="0" applyNumberFormat="1" applyFont="1" applyFill="1" applyBorder="1" applyAlignment="1">
      <alignment vertical="center"/>
    </xf>
    <xf numFmtId="0" fontId="24" fillId="4" borderId="24" xfId="0" applyFont="1" applyFill="1" applyBorder="1" applyAlignment="1"/>
    <xf numFmtId="0" fontId="28" fillId="4" borderId="24" xfId="0" applyFont="1" applyFill="1" applyBorder="1" applyAlignment="1">
      <alignment horizontal="right" vertical="top" textRotation="180"/>
    </xf>
    <xf numFmtId="0" fontId="28" fillId="4" borderId="25" xfId="0" applyFont="1" applyFill="1" applyBorder="1" applyAlignment="1">
      <alignment horizontal="right" vertical="top" textRotation="180"/>
    </xf>
    <xf numFmtId="0" fontId="28" fillId="4" borderId="25" xfId="0" applyFont="1" applyFill="1" applyBorder="1" applyAlignment="1">
      <alignment horizontal="right" vertical="top" textRotation="180"/>
    </xf>
    <xf numFmtId="0" fontId="28" fillId="4" borderId="66" xfId="0" applyFont="1" applyFill="1" applyBorder="1" applyAlignment="1">
      <alignment vertical="center"/>
    </xf>
    <xf numFmtId="0" fontId="25" fillId="3" borderId="67" xfId="0" applyFont="1" applyFill="1" applyBorder="1" applyAlignment="1">
      <alignment vertical="top"/>
    </xf>
    <xf numFmtId="0" fontId="24" fillId="3" borderId="68" xfId="0" applyFont="1" applyFill="1" applyBorder="1" applyAlignment="1">
      <alignment vertical="top"/>
    </xf>
    <xf numFmtId="0" fontId="24" fillId="3" borderId="69" xfId="0" applyFont="1" applyFill="1" applyBorder="1" applyAlignment="1">
      <alignment vertical="top"/>
    </xf>
    <xf numFmtId="0" fontId="24" fillId="6" borderId="70" xfId="0" applyFont="1" applyFill="1" applyBorder="1" applyAlignment="1"/>
    <xf numFmtId="0" fontId="24" fillId="0" borderId="10" xfId="0" applyFont="1" applyBorder="1" applyAlignment="1"/>
    <xf numFmtId="0" fontId="24" fillId="4" borderId="71" xfId="0" applyFont="1" applyFill="1" applyBorder="1" applyAlignment="1">
      <alignment vertical="center"/>
    </xf>
    <xf numFmtId="0" fontId="24" fillId="3" borderId="23" xfId="0" applyFont="1" applyFill="1" applyBorder="1" applyAlignment="1">
      <alignment vertical="top"/>
    </xf>
    <xf numFmtId="0" fontId="24" fillId="3" borderId="24" xfId="0" applyFont="1" applyFill="1" applyBorder="1" applyAlignment="1">
      <alignment vertical="top"/>
    </xf>
    <xf numFmtId="0" fontId="27" fillId="3" borderId="25" xfId="0" applyFont="1" applyFill="1" applyBorder="1" applyAlignment="1">
      <alignment horizontal="right" vertical="top"/>
    </xf>
    <xf numFmtId="0" fontId="24" fillId="6" borderId="1" xfId="0" applyFont="1" applyFill="1" applyBorder="1" applyAlignment="1"/>
    <xf numFmtId="0" fontId="3" fillId="0" borderId="5" xfId="0" applyFont="1" applyBorder="1" applyAlignment="1">
      <alignment horizontal="center"/>
    </xf>
    <xf numFmtId="0" fontId="24" fillId="3" borderId="25" xfId="0" applyFont="1" applyFill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5" xfId="0" applyFont="1" applyBorder="1" applyAlignment="1"/>
    <xf numFmtId="0" fontId="25" fillId="3" borderId="23" xfId="0" applyFont="1" applyFill="1" applyBorder="1" applyAlignment="1">
      <alignment vertical="top"/>
    </xf>
    <xf numFmtId="0" fontId="25" fillId="3" borderId="23" xfId="0" applyFont="1" applyFill="1" applyBorder="1" applyAlignment="1">
      <alignment vertical="top"/>
    </xf>
    <xf numFmtId="0" fontId="25" fillId="3" borderId="72" xfId="0" applyFont="1" applyFill="1" applyBorder="1" applyAlignment="1">
      <alignment vertical="top"/>
    </xf>
    <xf numFmtId="0" fontId="24" fillId="3" borderId="73" xfId="0" applyFont="1" applyFill="1" applyBorder="1" applyAlignment="1">
      <alignment vertical="top"/>
    </xf>
    <xf numFmtId="0" fontId="24" fillId="3" borderId="74" xfId="0" applyFont="1" applyFill="1" applyBorder="1" applyAlignment="1">
      <alignment vertical="top"/>
    </xf>
    <xf numFmtId="0" fontId="24" fillId="6" borderId="75" xfId="0" applyFont="1" applyFill="1" applyBorder="1" applyAlignment="1"/>
    <xf numFmtId="0" fontId="24" fillId="0" borderId="6" xfId="0" applyFont="1" applyBorder="1" applyAlignment="1"/>
    <xf numFmtId="0" fontId="29" fillId="0" borderId="5" xfId="0" applyFont="1" applyBorder="1" applyAlignment="1">
      <alignment vertical="center"/>
    </xf>
    <xf numFmtId="0" fontId="24" fillId="3" borderId="76" xfId="0" applyFont="1" applyFill="1" applyBorder="1" applyAlignment="1">
      <alignment vertical="top"/>
    </xf>
    <xf numFmtId="0" fontId="24" fillId="3" borderId="77" xfId="0" applyFont="1" applyFill="1" applyBorder="1" applyAlignment="1">
      <alignment vertical="top"/>
    </xf>
    <xf numFmtId="0" fontId="24" fillId="3" borderId="78" xfId="0" applyFont="1" applyFill="1" applyBorder="1" applyAlignment="1">
      <alignment vertical="top"/>
    </xf>
    <xf numFmtId="0" fontId="24" fillId="6" borderId="79" xfId="0" applyFont="1" applyFill="1" applyBorder="1" applyAlignment="1"/>
    <xf numFmtId="0" fontId="24" fillId="0" borderId="80" xfId="0" applyFont="1" applyBorder="1" applyAlignment="1"/>
    <xf numFmtId="0" fontId="28" fillId="4" borderId="81" xfId="0" applyFont="1" applyFill="1" applyBorder="1" applyAlignment="1">
      <alignment vertical="top"/>
    </xf>
    <xf numFmtId="0" fontId="25" fillId="3" borderId="82" xfId="0" applyFont="1" applyFill="1" applyBorder="1" applyAlignment="1"/>
    <xf numFmtId="0" fontId="24" fillId="3" borderId="83" xfId="0" applyFont="1" applyFill="1" applyBorder="1" applyAlignment="1"/>
    <xf numFmtId="0" fontId="24" fillId="6" borderId="84" xfId="0" applyFont="1" applyFill="1" applyBorder="1" applyAlignment="1"/>
    <xf numFmtId="0" fontId="24" fillId="4" borderId="71" xfId="0" applyFont="1" applyFill="1" applyBorder="1" applyAlignment="1">
      <alignment vertical="top"/>
    </xf>
    <xf numFmtId="0" fontId="24" fillId="3" borderId="23" xfId="0" applyFont="1" applyFill="1" applyBorder="1" applyAlignment="1"/>
    <xf numFmtId="0" fontId="27" fillId="3" borderId="25" xfId="0" applyFont="1" applyFill="1" applyBorder="1" applyAlignment="1">
      <alignment horizontal="right"/>
    </xf>
    <xf numFmtId="0" fontId="24" fillId="6" borderId="5" xfId="0" applyFont="1" applyFill="1" applyBorder="1" applyAlignment="1"/>
    <xf numFmtId="0" fontId="25" fillId="3" borderId="23" xfId="0" applyFont="1" applyFill="1" applyBorder="1" applyAlignment="1"/>
    <xf numFmtId="0" fontId="24" fillId="3" borderId="25" xfId="0" applyFont="1" applyFill="1" applyBorder="1" applyAlignment="1"/>
    <xf numFmtId="0" fontId="24" fillId="4" borderId="66" xfId="0" applyFont="1" applyFill="1" applyBorder="1" applyAlignment="1">
      <alignment vertical="top"/>
    </xf>
    <xf numFmtId="0" fontId="24" fillId="3" borderId="85" xfId="0" applyFont="1" applyFill="1" applyBorder="1" applyAlignment="1"/>
    <xf numFmtId="0" fontId="24" fillId="3" borderId="0" xfId="0" applyFont="1" applyFill="1" applyAlignment="1"/>
    <xf numFmtId="0" fontId="27" fillId="3" borderId="86" xfId="0" applyFont="1" applyFill="1" applyBorder="1" applyAlignment="1">
      <alignment horizontal="right"/>
    </xf>
    <xf numFmtId="0" fontId="24" fillId="6" borderId="87" xfId="0" applyFont="1" applyFill="1" applyBorder="1" applyAlignment="1"/>
    <xf numFmtId="0" fontId="24" fillId="0" borderId="87" xfId="0" applyFont="1" applyBorder="1" applyAlignment="1"/>
    <xf numFmtId="0" fontId="3" fillId="0" borderId="8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4" fillId="0" borderId="91" xfId="0" applyFont="1" applyBorder="1" applyAlignment="1"/>
    <xf numFmtId="0" fontId="27" fillId="0" borderId="91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166" fontId="27" fillId="0" borderId="5" xfId="0" applyNumberFormat="1" applyFont="1" applyBorder="1" applyAlignment="1">
      <alignment horizontal="center" vertical="top" textRotation="255"/>
    </xf>
    <xf numFmtId="0" fontId="24" fillId="4" borderId="92" xfId="0" applyFont="1" applyFill="1" applyBorder="1" applyAlignment="1">
      <alignment vertical="top"/>
    </xf>
    <xf numFmtId="0" fontId="24" fillId="0" borderId="0" xfId="0" applyFont="1" applyAlignment="1"/>
    <xf numFmtId="0" fontId="27" fillId="0" borderId="0" xfId="0" applyFont="1" applyAlignment="1"/>
    <xf numFmtId="0" fontId="25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96" xfId="0" applyFont="1" applyBorder="1" applyAlignment="1"/>
    <xf numFmtId="0" fontId="26" fillId="3" borderId="53" xfId="0" applyFont="1" applyFill="1" applyBorder="1" applyAlignment="1">
      <alignment wrapText="1"/>
    </xf>
    <xf numFmtId="0" fontId="26" fillId="3" borderId="54" xfId="0" applyFont="1" applyFill="1" applyBorder="1" applyAlignment="1">
      <alignment wrapText="1"/>
    </xf>
    <xf numFmtId="0" fontId="26" fillId="3" borderId="24" xfId="0" applyFont="1" applyFill="1" applyBorder="1" applyAlignment="1">
      <alignment horizontal="left" wrapText="1"/>
    </xf>
    <xf numFmtId="49" fontId="27" fillId="0" borderId="0" xfId="0" applyNumberFormat="1" applyFont="1" applyAlignment="1"/>
    <xf numFmtId="0" fontId="27" fillId="3" borderId="62" xfId="0" applyFont="1" applyFill="1" applyBorder="1" applyAlignment="1">
      <alignment horizontal="center" vertical="center"/>
    </xf>
    <xf numFmtId="0" fontId="27" fillId="0" borderId="64" xfId="0" applyFont="1" applyBorder="1" applyAlignment="1"/>
    <xf numFmtId="0" fontId="27" fillId="0" borderId="0" xfId="0" applyFont="1" applyAlignment="1">
      <alignment horizontal="right"/>
    </xf>
    <xf numFmtId="0" fontId="30" fillId="4" borderId="98" xfId="0" applyFont="1" applyFill="1" applyBorder="1" applyAlignment="1"/>
    <xf numFmtId="0" fontId="28" fillId="4" borderId="99" xfId="0" applyFont="1" applyFill="1" applyBorder="1" applyAlignment="1">
      <alignment horizontal="left"/>
    </xf>
    <xf numFmtId="0" fontId="30" fillId="4" borderId="99" xfId="0" applyFont="1" applyFill="1" applyBorder="1" applyAlignment="1"/>
    <xf numFmtId="0" fontId="30" fillId="4" borderId="99" xfId="0" applyFont="1" applyFill="1" applyBorder="1" applyAlignment="1">
      <alignment horizontal="right"/>
    </xf>
    <xf numFmtId="0" fontId="28" fillId="4" borderId="99" xfId="0" applyFont="1" applyFill="1" applyBorder="1" applyAlignment="1">
      <alignment vertical="top" textRotation="180"/>
    </xf>
    <xf numFmtId="0" fontId="25" fillId="0" borderId="0" xfId="0" applyFont="1" applyAlignment="1"/>
    <xf numFmtId="0" fontId="28" fillId="4" borderId="81" xfId="0" applyFont="1" applyFill="1" applyBorder="1" applyAlignment="1">
      <alignment vertical="center"/>
    </xf>
    <xf numFmtId="0" fontId="25" fillId="3" borderId="23" xfId="0" applyFont="1" applyFill="1" applyBorder="1" applyAlignment="1">
      <alignment horizontal="left" vertical="top"/>
    </xf>
    <xf numFmtId="0" fontId="27" fillId="3" borderId="24" xfId="0" applyFont="1" applyFill="1" applyBorder="1" applyAlignment="1">
      <alignment horizontal="center" vertical="top"/>
    </xf>
    <xf numFmtId="0" fontId="27" fillId="3" borderId="25" xfId="0" applyFont="1" applyFill="1" applyBorder="1" applyAlignment="1">
      <alignment horizontal="right" vertical="top"/>
    </xf>
    <xf numFmtId="0" fontId="26" fillId="6" borderId="100" xfId="0" applyFont="1" applyFill="1" applyBorder="1" applyAlignment="1">
      <alignment horizontal="right"/>
    </xf>
    <xf numFmtId="0" fontId="31" fillId="0" borderId="5" xfId="0" applyFont="1" applyBorder="1" applyAlignment="1">
      <alignment horizontal="center"/>
    </xf>
    <xf numFmtId="0" fontId="28" fillId="4" borderId="71" xfId="0" applyFont="1" applyFill="1" applyBorder="1" applyAlignment="1">
      <alignment vertical="center"/>
    </xf>
    <xf numFmtId="0" fontId="26" fillId="6" borderId="1" xfId="0" applyFont="1" applyFill="1" applyBorder="1" applyAlignment="1">
      <alignment horizontal="right"/>
    </xf>
    <xf numFmtId="0" fontId="27" fillId="0" borderId="0" xfId="0" applyFont="1" applyAlignment="1">
      <alignment vertical="top"/>
    </xf>
    <xf numFmtId="0" fontId="27" fillId="3" borderId="74" xfId="0" applyFont="1" applyFill="1" applyBorder="1" applyAlignment="1">
      <alignment horizontal="right" vertical="top"/>
    </xf>
    <xf numFmtId="0" fontId="27" fillId="6" borderId="1" xfId="0" applyFont="1" applyFill="1" applyBorder="1" applyAlignment="1">
      <alignment horizontal="right"/>
    </xf>
    <xf numFmtId="0" fontId="32" fillId="0" borderId="0" xfId="0" applyFont="1" applyAlignment="1">
      <alignment horizontal="center"/>
    </xf>
    <xf numFmtId="0" fontId="27" fillId="3" borderId="57" xfId="0" applyFont="1" applyFill="1" applyBorder="1" applyAlignment="1">
      <alignment horizontal="center" vertical="top"/>
    </xf>
    <xf numFmtId="0" fontId="27" fillId="0" borderId="3" xfId="0" applyFont="1" applyBorder="1" applyAlignment="1">
      <alignment horizontal="right"/>
    </xf>
    <xf numFmtId="0" fontId="25" fillId="3" borderId="76" xfId="0" applyFont="1" applyFill="1" applyBorder="1" applyAlignment="1">
      <alignment horizontal="left" vertical="top"/>
    </xf>
    <xf numFmtId="0" fontId="27" fillId="3" borderId="77" xfId="0" applyFont="1" applyFill="1" applyBorder="1" applyAlignment="1">
      <alignment horizontal="center" vertical="top"/>
    </xf>
    <xf numFmtId="0" fontId="27" fillId="3" borderId="78" xfId="0" applyFont="1" applyFill="1" applyBorder="1" applyAlignment="1">
      <alignment horizontal="right" vertical="top"/>
    </xf>
    <xf numFmtId="0" fontId="27" fillId="6" borderId="79" xfId="0" applyFont="1" applyFill="1" applyBorder="1" applyAlignment="1">
      <alignment horizontal="right"/>
    </xf>
    <xf numFmtId="0" fontId="31" fillId="0" borderId="80" xfId="0" applyFont="1" applyBorder="1" applyAlignment="1">
      <alignment horizontal="center"/>
    </xf>
    <xf numFmtId="0" fontId="28" fillId="4" borderId="81" xfId="0" applyFont="1" applyFill="1" applyBorder="1" applyAlignment="1">
      <alignment vertical="top"/>
    </xf>
    <xf numFmtId="0" fontId="25" fillId="3" borderId="82" xfId="0" applyFont="1" applyFill="1" applyBorder="1" applyAlignment="1"/>
    <xf numFmtId="0" fontId="25" fillId="3" borderId="53" xfId="0" applyFont="1" applyFill="1" applyBorder="1" applyAlignment="1"/>
    <xf numFmtId="0" fontId="27" fillId="3" borderId="83" xfId="0" applyFont="1" applyFill="1" applyBorder="1" applyAlignment="1">
      <alignment horizontal="right"/>
    </xf>
    <xf numFmtId="0" fontId="27" fillId="6" borderId="84" xfId="0" applyFont="1" applyFill="1" applyBorder="1" applyAlignment="1">
      <alignment horizontal="left"/>
    </xf>
    <xf numFmtId="0" fontId="31" fillId="0" borderId="10" xfId="0" applyFont="1" applyBorder="1" applyAlignment="1">
      <alignment horizontal="center"/>
    </xf>
    <xf numFmtId="0" fontId="28" fillId="4" borderId="71" xfId="0" applyFont="1" applyFill="1" applyBorder="1" applyAlignment="1">
      <alignment vertical="top"/>
    </xf>
    <xf numFmtId="0" fontId="25" fillId="3" borderId="23" xfId="0" applyFont="1" applyFill="1" applyBorder="1" applyAlignment="1"/>
    <xf numFmtId="0" fontId="27" fillId="3" borderId="24" xfId="0" applyFont="1" applyFill="1" applyBorder="1" applyAlignment="1"/>
    <xf numFmtId="0" fontId="27" fillId="3" borderId="25" xfId="0" applyFont="1" applyFill="1" applyBorder="1" applyAlignment="1">
      <alignment horizontal="right"/>
    </xf>
    <xf numFmtId="0" fontId="27" fillId="6" borderId="5" xfId="0" applyFont="1" applyFill="1" applyBorder="1" applyAlignment="1">
      <alignment horizontal="left"/>
    </xf>
    <xf numFmtId="0" fontId="24" fillId="3" borderId="24" xfId="0" applyFont="1" applyFill="1" applyBorder="1" applyAlignment="1"/>
    <xf numFmtId="0" fontId="27" fillId="6" borderId="5" xfId="0" applyFont="1" applyFill="1" applyBorder="1" applyAlignment="1"/>
    <xf numFmtId="0" fontId="25" fillId="3" borderId="72" xfId="0" applyFont="1" applyFill="1" applyBorder="1" applyAlignment="1"/>
    <xf numFmtId="0" fontId="27" fillId="3" borderId="73" xfId="0" applyFont="1" applyFill="1" applyBorder="1" applyAlignment="1"/>
    <xf numFmtId="0" fontId="27" fillId="3" borderId="74" xfId="0" applyFont="1" applyFill="1" applyBorder="1" applyAlignment="1">
      <alignment horizontal="right"/>
    </xf>
    <xf numFmtId="0" fontId="27" fillId="6" borderId="6" xfId="0" applyFont="1" applyFill="1" applyBorder="1" applyAlignment="1">
      <alignment horizontal="left"/>
    </xf>
    <xf numFmtId="0" fontId="31" fillId="0" borderId="6" xfId="0" applyFont="1" applyBorder="1" applyAlignment="1">
      <alignment horizontal="center"/>
    </xf>
    <xf numFmtId="0" fontId="27" fillId="0" borderId="91" xfId="0" applyFont="1" applyBorder="1" applyAlignment="1">
      <alignment horizontal="left"/>
    </xf>
    <xf numFmtId="0" fontId="33" fillId="0" borderId="91" xfId="0" applyFont="1" applyBorder="1" applyAlignment="1">
      <alignment horizontal="center"/>
    </xf>
    <xf numFmtId="0" fontId="34" fillId="0" borderId="5" xfId="0" applyFont="1" applyBorder="1" applyAlignment="1">
      <alignment horizontal="left"/>
    </xf>
    <xf numFmtId="0" fontId="33" fillId="0" borderId="5" xfId="0" applyFont="1" applyBorder="1" applyAlignment="1">
      <alignment horizontal="center"/>
    </xf>
    <xf numFmtId="0" fontId="27" fillId="0" borderId="5" xfId="0" applyFont="1" applyBorder="1" applyAlignment="1"/>
    <xf numFmtId="166" fontId="27" fillId="0" borderId="5" xfId="0" applyNumberFormat="1" applyFont="1" applyBorder="1" applyAlignment="1">
      <alignment vertical="top" textRotation="255"/>
    </xf>
    <xf numFmtId="0" fontId="28" fillId="4" borderId="92" xfId="0" applyFont="1" applyFill="1" applyBorder="1" applyAlignment="1">
      <alignment vertical="top"/>
    </xf>
    <xf numFmtId="0" fontId="27" fillId="0" borderId="80" xfId="0" applyFont="1" applyBorder="1" applyAlignment="1"/>
    <xf numFmtId="0" fontId="27" fillId="0" borderId="80" xfId="0" applyFont="1" applyBorder="1" applyAlignment="1">
      <alignment textRotation="255"/>
    </xf>
    <xf numFmtId="0" fontId="28" fillId="4" borderId="101" xfId="0" applyFont="1" applyFill="1" applyBorder="1" applyAlignment="1">
      <alignment horizontal="left"/>
    </xf>
    <xf numFmtId="0" fontId="30" fillId="4" borderId="101" xfId="0" applyFont="1" applyFill="1" applyBorder="1" applyAlignment="1"/>
    <xf numFmtId="0" fontId="30" fillId="4" borderId="101" xfId="0" applyFont="1" applyFill="1" applyBorder="1" applyAlignment="1">
      <alignment horizontal="right"/>
    </xf>
    <xf numFmtId="0" fontId="28" fillId="4" borderId="101" xfId="0" applyFont="1" applyFill="1" applyBorder="1" applyAlignment="1">
      <alignment vertical="top" textRotation="180"/>
    </xf>
    <xf numFmtId="0" fontId="25" fillId="3" borderId="72" xfId="0" applyFont="1" applyFill="1" applyBorder="1" applyAlignment="1">
      <alignment horizontal="left" vertical="top"/>
    </xf>
    <xf numFmtId="0" fontId="27" fillId="3" borderId="73" xfId="0" applyFont="1" applyFill="1" applyBorder="1" applyAlignment="1">
      <alignment horizontal="center" vertical="top"/>
    </xf>
    <xf numFmtId="0" fontId="27" fillId="6" borderId="75" xfId="0" applyFont="1" applyFill="1" applyBorder="1" applyAlignment="1">
      <alignment horizontal="right"/>
    </xf>
    <xf numFmtId="0" fontId="24" fillId="3" borderId="73" xfId="0" applyFont="1" applyFill="1" applyBorder="1" applyAlignment="1"/>
    <xf numFmtId="0" fontId="27" fillId="6" borderId="6" xfId="0" applyFont="1" applyFill="1" applyBorder="1" applyAlignment="1"/>
    <xf numFmtId="0" fontId="25" fillId="3" borderId="102" xfId="0" applyFont="1" applyFill="1" applyBorder="1" applyAlignment="1"/>
    <xf numFmtId="0" fontId="27" fillId="3" borderId="100" xfId="0" applyFont="1" applyFill="1" applyBorder="1" applyAlignment="1"/>
    <xf numFmtId="0" fontId="27" fillId="3" borderId="103" xfId="0" applyFont="1" applyFill="1" applyBorder="1" applyAlignment="1">
      <alignment horizontal="right"/>
    </xf>
    <xf numFmtId="0" fontId="27" fillId="6" borderId="104" xfId="0" applyFont="1" applyFill="1" applyBorder="1" applyAlignment="1">
      <alignment horizontal="left"/>
    </xf>
    <xf numFmtId="0" fontId="28" fillId="4" borderId="105" xfId="0" applyFont="1" applyFill="1" applyBorder="1" applyAlignment="1">
      <alignment vertical="top"/>
    </xf>
    <xf numFmtId="0" fontId="28" fillId="4" borderId="106" xfId="0" applyFont="1" applyFill="1" applyBorder="1" applyAlignment="1">
      <alignment vertical="top"/>
    </xf>
    <xf numFmtId="0" fontId="27" fillId="3" borderId="25" xfId="0" applyFont="1" applyFill="1" applyBorder="1" applyAlignment="1">
      <alignment horizontal="right" vertical="top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/>
    </xf>
    <xf numFmtId="0" fontId="9" fillId="3" borderId="6" xfId="0" applyFont="1" applyFill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1" fontId="9" fillId="3" borderId="2" xfId="0" applyNumberFormat="1" applyFont="1" applyFill="1" applyBorder="1" applyAlignment="1"/>
    <xf numFmtId="0" fontId="7" fillId="3" borderId="2" xfId="0" applyFont="1" applyFill="1" applyBorder="1" applyAlignment="1">
      <alignment horizontal="left"/>
    </xf>
    <xf numFmtId="1" fontId="9" fillId="3" borderId="2" xfId="0" applyNumberFormat="1" applyFont="1" applyFill="1" applyBorder="1" applyAlignment="1">
      <alignment horizontal="left"/>
    </xf>
    <xf numFmtId="1" fontId="9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/>
    </xf>
    <xf numFmtId="165" fontId="7" fillId="3" borderId="2" xfId="0" applyNumberFormat="1" applyFont="1" applyFill="1" applyBorder="1" applyAlignment="1">
      <alignment horizontal="left" vertical="top"/>
    </xf>
    <xf numFmtId="0" fontId="7" fillId="3" borderId="2" xfId="0" applyFont="1" applyFill="1" applyBorder="1" applyAlignment="1">
      <alignment vertical="top"/>
    </xf>
    <xf numFmtId="0" fontId="11" fillId="3" borderId="30" xfId="0" applyFont="1" applyFill="1" applyBorder="1" applyAlignment="1">
      <alignment horizontal="center"/>
    </xf>
    <xf numFmtId="0" fontId="12" fillId="0" borderId="31" xfId="0" applyFont="1" applyBorder="1" applyAlignment="1">
      <alignment vertical="center"/>
    </xf>
    <xf numFmtId="0" fontId="9" fillId="3" borderId="2" xfId="0" applyFont="1" applyFill="1" applyBorder="1" applyAlignment="1">
      <alignment horizontal="center"/>
    </xf>
    <xf numFmtId="0" fontId="25" fillId="3" borderId="38" xfId="0" applyFont="1" applyFill="1" applyBorder="1" applyAlignment="1">
      <alignment wrapText="1"/>
    </xf>
    <xf numFmtId="0" fontId="12" fillId="0" borderId="39" xfId="0" applyFont="1" applyBorder="1" applyAlignment="1">
      <alignment vertical="center"/>
    </xf>
    <xf numFmtId="49" fontId="26" fillId="3" borderId="40" xfId="0" applyNumberFormat="1" applyFont="1" applyFill="1" applyBorder="1" applyAlignment="1">
      <alignment wrapText="1"/>
    </xf>
    <xf numFmtId="0" fontId="1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25" fillId="3" borderId="43" xfId="0" applyFont="1" applyFill="1" applyBorder="1" applyAlignment="1">
      <alignment wrapText="1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49" fontId="27" fillId="3" borderId="40" xfId="0" applyNumberFormat="1" applyFont="1" applyFill="1" applyBorder="1" applyAlignment="1">
      <alignment horizontal="center" wrapText="1"/>
    </xf>
    <xf numFmtId="0" fontId="12" fillId="0" borderId="46" xfId="0" applyFont="1" applyBorder="1" applyAlignment="1">
      <alignment vertical="center"/>
    </xf>
    <xf numFmtId="0" fontId="26" fillId="3" borderId="48" xfId="0" applyFont="1" applyFill="1" applyBorder="1" applyAlignment="1">
      <alignment wrapText="1"/>
    </xf>
    <xf numFmtId="0" fontId="12" fillId="0" borderId="49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25" fillId="3" borderId="2" xfId="0" applyFont="1" applyFill="1" applyBorder="1" applyAlignment="1">
      <alignment wrapText="1"/>
    </xf>
    <xf numFmtId="0" fontId="26" fillId="3" borderId="51" xfId="0" applyFont="1" applyFill="1" applyBorder="1" applyAlignment="1">
      <alignment wrapText="1"/>
    </xf>
    <xf numFmtId="0" fontId="12" fillId="0" borderId="52" xfId="0" applyFont="1" applyBorder="1" applyAlignment="1">
      <alignment vertical="center"/>
    </xf>
    <xf numFmtId="0" fontId="25" fillId="3" borderId="47" xfId="0" applyFont="1" applyFill="1" applyBorder="1" applyAlignment="1">
      <alignment wrapText="1"/>
    </xf>
    <xf numFmtId="0" fontId="26" fillId="3" borderId="2" xfId="0" applyFont="1" applyFill="1" applyBorder="1" applyAlignment="1">
      <alignment horizontal="center" wrapText="1"/>
    </xf>
    <xf numFmtId="0" fontId="12" fillId="0" borderId="55" xfId="0" applyFont="1" applyBorder="1" applyAlignment="1">
      <alignment vertical="center"/>
    </xf>
    <xf numFmtId="0" fontId="27" fillId="3" borderId="2" xfId="0" applyFont="1" applyFill="1" applyBorder="1" applyAlignment="1">
      <alignment horizontal="center" wrapText="1"/>
    </xf>
    <xf numFmtId="0" fontId="12" fillId="0" borderId="56" xfId="0" applyFont="1" applyBorder="1" applyAlignment="1">
      <alignment vertical="center"/>
    </xf>
    <xf numFmtId="0" fontId="24" fillId="3" borderId="2" xfId="0" applyFont="1" applyFill="1" applyBorder="1" applyAlignment="1"/>
    <xf numFmtId="0" fontId="25" fillId="3" borderId="2" xfId="0" applyFont="1" applyFill="1" applyBorder="1" applyAlignment="1">
      <alignment horizontal="center" vertical="center" wrapText="1"/>
    </xf>
    <xf numFmtId="0" fontId="27" fillId="3" borderId="60" xfId="0" applyFont="1" applyFill="1" applyBorder="1" applyAlignment="1">
      <alignment horizontal="center" vertical="center"/>
    </xf>
    <xf numFmtId="0" fontId="12" fillId="0" borderId="61" xfId="0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27" fillId="3" borderId="2" xfId="0" applyFont="1" applyFill="1" applyBorder="1" applyAlignment="1">
      <alignment horizontal="right"/>
    </xf>
    <xf numFmtId="0" fontId="27" fillId="0" borderId="88" xfId="0" applyFont="1" applyBorder="1" applyAlignment="1"/>
    <xf numFmtId="0" fontId="12" fillId="0" borderId="89" xfId="0" applyFont="1" applyBorder="1" applyAlignment="1">
      <alignment vertical="center"/>
    </xf>
    <xf numFmtId="0" fontId="12" fillId="0" borderId="90" xfId="0" applyFont="1" applyBorder="1" applyAlignment="1">
      <alignment vertical="center"/>
    </xf>
    <xf numFmtId="0" fontId="27" fillId="0" borderId="2" xfId="0" applyFont="1" applyBorder="1" applyAlignment="1"/>
    <xf numFmtId="0" fontId="27" fillId="0" borderId="2" xfId="0" applyFont="1" applyBorder="1" applyAlignment="1">
      <alignment vertical="top"/>
    </xf>
    <xf numFmtId="0" fontId="27" fillId="0" borderId="93" xfId="0" applyFont="1" applyBorder="1" applyAlignment="1">
      <alignment vertical="top"/>
    </xf>
    <xf numFmtId="0" fontId="12" fillId="0" borderId="94" xfId="0" applyFont="1" applyBorder="1" applyAlignment="1">
      <alignment vertical="center"/>
    </xf>
    <xf numFmtId="0" fontId="12" fillId="0" borderId="95" xfId="0" applyFont="1" applyBorder="1" applyAlignment="1">
      <alignment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57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/>
    </xf>
    <xf numFmtId="0" fontId="12" fillId="0" borderId="59" xfId="0" applyFont="1" applyBorder="1" applyAlignment="1">
      <alignment vertical="center"/>
    </xf>
    <xf numFmtId="0" fontId="25" fillId="3" borderId="38" xfId="0" applyFont="1" applyFill="1" applyBorder="1" applyAlignment="1">
      <alignment horizontal="left" wrapText="1"/>
    </xf>
    <xf numFmtId="49" fontId="26" fillId="3" borderId="40" xfId="0" applyNumberFormat="1" applyFont="1" applyFill="1" applyBorder="1" applyAlignment="1">
      <alignment horizontal="left" wrapText="1"/>
    </xf>
    <xf numFmtId="0" fontId="25" fillId="3" borderId="40" xfId="0" applyFont="1" applyFill="1" applyBorder="1" applyAlignment="1">
      <alignment horizontal="left" wrapText="1"/>
    </xf>
    <xf numFmtId="0" fontId="26" fillId="3" borderId="48" xfId="0" applyFont="1" applyFill="1" applyBorder="1" applyAlignment="1">
      <alignment horizontal="left" wrapText="1"/>
    </xf>
    <xf numFmtId="0" fontId="25" fillId="3" borderId="48" xfId="0" applyFont="1" applyFill="1" applyBorder="1" applyAlignment="1">
      <alignment horizontal="left" wrapText="1"/>
    </xf>
    <xf numFmtId="0" fontId="26" fillId="3" borderId="51" xfId="0" applyFont="1" applyFill="1" applyBorder="1" applyAlignment="1">
      <alignment horizontal="left" wrapText="1"/>
    </xf>
    <xf numFmtId="0" fontId="25" fillId="3" borderId="97" xfId="0" applyFont="1" applyFill="1" applyBorder="1" applyAlignment="1">
      <alignment horizontal="left" wrapText="1"/>
    </xf>
    <xf numFmtId="0" fontId="25" fillId="3" borderId="47" xfId="0" applyFont="1" applyFill="1" applyBorder="1" applyAlignment="1">
      <alignment horizontal="left" wrapText="1"/>
    </xf>
    <xf numFmtId="0" fontId="25" fillId="3" borderId="2" xfId="0" applyFont="1" applyFill="1" applyBorder="1" applyAlignment="1">
      <alignment horizontal="left" wrapText="1"/>
    </xf>
    <xf numFmtId="0" fontId="26" fillId="3" borderId="2" xfId="0" applyFont="1" applyFill="1" applyBorder="1" applyAlignment="1">
      <alignment horizontal="left" wrapText="1"/>
    </xf>
    <xf numFmtId="0" fontId="27" fillId="0" borderId="0" xfId="0" applyFont="1" applyAlignment="1">
      <alignment horizontal="right"/>
    </xf>
    <xf numFmtId="0" fontId="0" fillId="0" borderId="0" xfId="0" applyFont="1" applyAlignment="1">
      <alignment vertical="center"/>
    </xf>
    <xf numFmtId="0" fontId="27" fillId="0" borderId="88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7" fillId="0" borderId="2" xfId="0" applyFont="1" applyBorder="1" applyAlignment="1">
      <alignment horizontal="left" vertical="top"/>
    </xf>
    <xf numFmtId="0" fontId="27" fillId="0" borderId="9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2EA8-4771-AFE9-2F0E5CEC803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A8-4771-AFE9-2F0E5CEC8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F787-4138-8A08-24A10A7001F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25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7-4138-8A08-24A10A70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24</xdr:row>
      <xdr:rowOff>0</xdr:rowOff>
    </xdr:from>
    <xdr:ext cx="3743325" cy="242887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9525</xdr:rowOff>
    </xdr:from>
    <xdr:ext cx="4238625" cy="2419350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25" defaultRowHeight="15" customHeight="1" x14ac:dyDescent="0.15"/>
  <cols>
    <col min="1" max="1" width="119.375" customWidth="1"/>
    <col min="2" max="6" width="9" customWidth="1"/>
    <col min="7" max="24" width="8" customWidth="1"/>
  </cols>
  <sheetData>
    <row r="1" spans="1:26" ht="22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x14ac:dyDescent="0.2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8.25" customHeight="1" x14ac:dyDescent="0.2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9.25" customHeight="1" x14ac:dyDescent="0.2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.5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2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5.5" customHeight="1" x14ac:dyDescent="0.2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2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2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0" customHeight="1" x14ac:dyDescent="0.2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8.25" customHeight="1" x14ac:dyDescent="0.2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 x14ac:dyDescent="0.2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2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 x14ac:dyDescent="0.15"/>
  <cols>
    <col min="1" max="1" width="21.375" customWidth="1"/>
    <col min="2" max="2" width="10" customWidth="1"/>
    <col min="3" max="3" width="17" customWidth="1"/>
    <col min="4" max="4" width="8" customWidth="1"/>
    <col min="5" max="5" width="38" customWidth="1"/>
    <col min="6" max="6" width="48.25" customWidth="1"/>
    <col min="7" max="26" width="8" customWidth="1"/>
  </cols>
  <sheetData>
    <row r="1" spans="1:26" ht="12.7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75.75" customHeight="1" x14ac:dyDescent="0.15">
      <c r="A2" s="14"/>
      <c r="B2" s="250" t="s">
        <v>45</v>
      </c>
      <c r="C2" s="251"/>
      <c r="D2" s="251"/>
      <c r="E2" s="251"/>
      <c r="F2" s="25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">
      <c r="A3" s="16"/>
      <c r="B3" s="17"/>
      <c r="C3" s="13"/>
      <c r="D3" s="13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 x14ac:dyDescent="0.2">
      <c r="A4" s="19" t="s">
        <v>46</v>
      </c>
      <c r="B4" s="253" t="s">
        <v>47</v>
      </c>
      <c r="C4" s="251"/>
      <c r="D4" s="252"/>
      <c r="E4" s="19" t="s">
        <v>48</v>
      </c>
      <c r="F4" s="20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2">
      <c r="A5" s="19" t="s">
        <v>50</v>
      </c>
      <c r="B5" s="253" t="s">
        <v>51</v>
      </c>
      <c r="C5" s="251"/>
      <c r="D5" s="252"/>
      <c r="E5" s="19" t="s">
        <v>52</v>
      </c>
      <c r="F5" s="20" t="s">
        <v>53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2">
      <c r="A6" s="254" t="s">
        <v>54</v>
      </c>
      <c r="B6" s="256" t="str">
        <f>B5&amp;"_"&amp;"UnitTest"&amp;"_"&amp;"v1.0"</f>
        <v>&lt;FMS&gt;_UnitTest_v1.0</v>
      </c>
      <c r="C6" s="257"/>
      <c r="D6" s="258"/>
      <c r="E6" s="19" t="s">
        <v>55</v>
      </c>
      <c r="F6" s="21" t="s">
        <v>56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2">
      <c r="A7" s="255"/>
      <c r="B7" s="259"/>
      <c r="C7" s="260"/>
      <c r="D7" s="261"/>
      <c r="E7" s="19" t="s">
        <v>57</v>
      </c>
      <c r="F7" s="22"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23"/>
      <c r="B8" s="17"/>
      <c r="C8" s="13"/>
      <c r="D8" s="13"/>
      <c r="E8" s="24"/>
      <c r="F8" s="17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">
      <c r="A10" s="25" t="s">
        <v>58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15">
      <c r="A11" s="26" t="s">
        <v>59</v>
      </c>
      <c r="B11" s="27" t="s">
        <v>57</v>
      </c>
      <c r="C11" s="27" t="s">
        <v>60</v>
      </c>
      <c r="D11" s="27" t="s">
        <v>61</v>
      </c>
      <c r="E11" s="27" t="s">
        <v>62</v>
      </c>
      <c r="F11" s="28" t="s">
        <v>63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6.25" customHeight="1" x14ac:dyDescent="0.15">
      <c r="A12" s="30">
        <v>45590</v>
      </c>
      <c r="B12" s="31" t="s">
        <v>64</v>
      </c>
      <c r="C12" s="32" t="s">
        <v>65</v>
      </c>
      <c r="D12" s="33" t="s">
        <v>66</v>
      </c>
      <c r="E12" s="33" t="s">
        <v>67</v>
      </c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27" customHeight="1" x14ac:dyDescent="0.15">
      <c r="A13" s="30">
        <v>45602</v>
      </c>
      <c r="B13" s="31" t="s">
        <v>64</v>
      </c>
      <c r="C13" s="32" t="s">
        <v>68</v>
      </c>
      <c r="D13" s="33" t="s">
        <v>66</v>
      </c>
      <c r="E13" s="33" t="s">
        <v>69</v>
      </c>
      <c r="F13" s="36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9.5" customHeight="1" x14ac:dyDescent="0.15">
      <c r="A14" s="37"/>
      <c r="B14" s="31"/>
      <c r="C14" s="33"/>
      <c r="D14" s="33"/>
      <c r="E14" s="33"/>
      <c r="F14" s="36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21.75" customHeight="1" x14ac:dyDescent="0.15">
      <c r="A15" s="37"/>
      <c r="B15" s="31"/>
      <c r="C15" s="33"/>
      <c r="D15" s="33"/>
      <c r="E15" s="33"/>
      <c r="F15" s="36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9.5" customHeight="1" x14ac:dyDescent="0.15">
      <c r="A16" s="37"/>
      <c r="B16" s="31"/>
      <c r="C16" s="33"/>
      <c r="D16" s="33"/>
      <c r="E16" s="33"/>
      <c r="F16" s="36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21.75" customHeight="1" x14ac:dyDescent="0.15">
      <c r="A17" s="37"/>
      <c r="B17" s="31"/>
      <c r="C17" s="33"/>
      <c r="D17" s="33"/>
      <c r="E17" s="33"/>
      <c r="F17" s="36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9.5" customHeight="1" x14ac:dyDescent="0.15">
      <c r="A18" s="38"/>
      <c r="B18" s="39"/>
      <c r="C18" s="40"/>
      <c r="D18" s="40"/>
      <c r="E18" s="40"/>
      <c r="F18" s="41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.75" customHeight="1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B2:F2"/>
    <mergeCell ref="B4:D4"/>
    <mergeCell ref="B5:D5"/>
    <mergeCell ref="A6:A7"/>
    <mergeCell ref="B6:D7"/>
  </mergeCell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25" defaultRowHeight="15" customHeight="1" x14ac:dyDescent="0.15"/>
  <cols>
    <col min="1" max="1" width="7.125" customWidth="1"/>
    <col min="2" max="2" width="14.75" customWidth="1"/>
    <col min="3" max="3" width="9.875" customWidth="1"/>
    <col min="4" max="4" width="12.375" customWidth="1"/>
    <col min="5" max="5" width="21" customWidth="1"/>
    <col min="6" max="6" width="12.375" customWidth="1"/>
    <col min="7" max="7" width="22.5" customWidth="1"/>
    <col min="8" max="8" width="33.75" customWidth="1"/>
    <col min="9" max="26" width="8" customWidth="1"/>
  </cols>
  <sheetData>
    <row r="1" spans="1:26" ht="12.75" customHeight="1" x14ac:dyDescent="0.2">
      <c r="A1" s="42"/>
      <c r="B1" s="42"/>
      <c r="C1" s="42"/>
      <c r="D1" s="43"/>
      <c r="E1" s="44"/>
      <c r="F1" s="43"/>
      <c r="G1" s="43"/>
      <c r="H1" s="43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5">
      <c r="A2" s="42"/>
      <c r="B2" s="42"/>
      <c r="C2" s="42"/>
      <c r="D2" s="43"/>
      <c r="E2" s="45" t="s">
        <v>70</v>
      </c>
      <c r="F2" s="45"/>
      <c r="G2" s="46"/>
      <c r="H2" s="43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 x14ac:dyDescent="0.2">
      <c r="A3" s="42"/>
      <c r="B3" s="42"/>
      <c r="C3" s="42"/>
      <c r="D3" s="43"/>
      <c r="E3" s="44"/>
      <c r="F3" s="47"/>
      <c r="G3" s="47"/>
      <c r="H3" s="43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 x14ac:dyDescent="0.2">
      <c r="A4" s="262" t="s">
        <v>46</v>
      </c>
      <c r="B4" s="251"/>
      <c r="C4" s="251"/>
      <c r="D4" s="251"/>
      <c r="E4" s="263" t="str">
        <f>Cover!B4</f>
        <v>&lt;Facilities Management System&gt;</v>
      </c>
      <c r="F4" s="251"/>
      <c r="G4" s="251"/>
      <c r="H4" s="252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 x14ac:dyDescent="0.2">
      <c r="A5" s="262" t="s">
        <v>50</v>
      </c>
      <c r="B5" s="251"/>
      <c r="C5" s="251"/>
      <c r="D5" s="251"/>
      <c r="E5" s="263" t="str">
        <f>Cover!B5</f>
        <v>&lt;FMS&gt;</v>
      </c>
      <c r="F5" s="251"/>
      <c r="G5" s="251"/>
      <c r="H5" s="252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 x14ac:dyDescent="0.2">
      <c r="A6" s="264" t="s">
        <v>71</v>
      </c>
      <c r="B6" s="251"/>
      <c r="C6" s="251"/>
      <c r="D6" s="252"/>
      <c r="E6" s="48">
        <v>29</v>
      </c>
      <c r="F6" s="49"/>
      <c r="G6" s="49"/>
      <c r="H6" s="5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64.5" customHeight="1" x14ac:dyDescent="0.2">
      <c r="A7" s="265" t="s">
        <v>72</v>
      </c>
      <c r="B7" s="251"/>
      <c r="C7" s="251"/>
      <c r="D7" s="252"/>
      <c r="E7" s="266" t="s">
        <v>73</v>
      </c>
      <c r="F7" s="251"/>
      <c r="G7" s="251"/>
      <c r="H7" s="2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2.75" customHeight="1" x14ac:dyDescent="0.2">
      <c r="A8" s="52"/>
      <c r="B8" s="52"/>
      <c r="C8" s="52"/>
      <c r="D8" s="18"/>
      <c r="E8" s="5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15">
      <c r="A9" s="53"/>
      <c r="B9" s="53"/>
      <c r="C9" s="53"/>
      <c r="D9" s="54"/>
      <c r="E9" s="55"/>
      <c r="F9" s="54"/>
      <c r="G9" s="54"/>
      <c r="H9" s="54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24" customHeight="1" x14ac:dyDescent="0.2">
      <c r="A10" s="57" t="s">
        <v>74</v>
      </c>
      <c r="B10" s="58" t="s">
        <v>75</v>
      </c>
      <c r="C10" s="59" t="s">
        <v>76</v>
      </c>
      <c r="D10" s="60" t="s">
        <v>77</v>
      </c>
      <c r="E10" s="61" t="s">
        <v>78</v>
      </c>
      <c r="F10" s="60" t="s">
        <v>79</v>
      </c>
      <c r="G10" s="62" t="s">
        <v>80</v>
      </c>
      <c r="H10" s="63" t="s">
        <v>81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5">
        <v>1</v>
      </c>
      <c r="B11" s="66"/>
      <c r="C11" s="66" t="s">
        <v>82</v>
      </c>
      <c r="D11" s="67" t="s">
        <v>82</v>
      </c>
      <c r="E11" s="68" t="s">
        <v>82</v>
      </c>
      <c r="F11" s="69" t="s">
        <v>82</v>
      </c>
      <c r="G11" s="69"/>
      <c r="H11" s="7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">
      <c r="A12" s="65">
        <v>2</v>
      </c>
      <c r="B12" s="66"/>
      <c r="C12" s="66" t="s">
        <v>83</v>
      </c>
      <c r="D12" s="67" t="s">
        <v>84</v>
      </c>
      <c r="E12" s="68" t="s">
        <v>84</v>
      </c>
      <c r="F12" s="69" t="s">
        <v>84</v>
      </c>
      <c r="G12" s="69"/>
      <c r="H12" s="7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">
      <c r="A13" s="65">
        <v>3</v>
      </c>
      <c r="B13" s="66"/>
      <c r="C13" s="66" t="s">
        <v>85</v>
      </c>
      <c r="D13" s="67" t="s">
        <v>86</v>
      </c>
      <c r="E13" s="68" t="s">
        <v>86</v>
      </c>
      <c r="F13" s="69" t="s">
        <v>86</v>
      </c>
      <c r="G13" s="69"/>
      <c r="H13" s="7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">
      <c r="A14" s="65">
        <v>4</v>
      </c>
      <c r="B14" s="66"/>
      <c r="C14" s="66" t="s">
        <v>85</v>
      </c>
      <c r="D14" s="67" t="s">
        <v>87</v>
      </c>
      <c r="E14" s="68" t="s">
        <v>87</v>
      </c>
      <c r="F14" s="69" t="s">
        <v>87</v>
      </c>
      <c r="G14" s="69"/>
      <c r="H14" s="7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">
      <c r="A15" s="65"/>
      <c r="B15" s="66"/>
      <c r="C15" s="66"/>
      <c r="D15" s="67"/>
      <c r="E15" s="68"/>
      <c r="F15" s="69"/>
      <c r="G15" s="69"/>
      <c r="H15" s="7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">
      <c r="A16" s="65"/>
      <c r="B16" s="66"/>
      <c r="C16" s="66"/>
      <c r="D16" s="67"/>
      <c r="E16" s="68"/>
      <c r="F16" s="71"/>
      <c r="G16" s="71"/>
      <c r="H16" s="7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">
      <c r="A17" s="65"/>
      <c r="B17" s="66"/>
      <c r="C17" s="66"/>
      <c r="D17" s="67"/>
      <c r="E17" s="68"/>
      <c r="F17" s="71"/>
      <c r="G17" s="71"/>
      <c r="H17" s="7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">
      <c r="A18" s="65"/>
      <c r="B18" s="66"/>
      <c r="C18" s="66"/>
      <c r="D18" s="67"/>
      <c r="E18" s="68"/>
      <c r="F18" s="71"/>
      <c r="G18" s="71"/>
      <c r="H18" s="7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">
      <c r="A19" s="65"/>
      <c r="B19" s="66"/>
      <c r="C19" s="66"/>
      <c r="D19" s="67"/>
      <c r="E19" s="68"/>
      <c r="F19" s="71"/>
      <c r="G19" s="71"/>
      <c r="H19" s="7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">
      <c r="A20" s="65"/>
      <c r="B20" s="66"/>
      <c r="C20" s="66"/>
      <c r="D20" s="67"/>
      <c r="E20" s="68"/>
      <c r="F20" s="71"/>
      <c r="G20" s="71"/>
      <c r="H20" s="7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">
      <c r="A21" s="65"/>
      <c r="B21" s="66"/>
      <c r="C21" s="66"/>
      <c r="D21" s="67"/>
      <c r="E21" s="68"/>
      <c r="F21" s="71"/>
      <c r="G21" s="71"/>
      <c r="H21" s="7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">
      <c r="A22" s="65"/>
      <c r="B22" s="66"/>
      <c r="C22" s="66"/>
      <c r="D22" s="67"/>
      <c r="E22" s="68"/>
      <c r="F22" s="71"/>
      <c r="G22" s="71"/>
      <c r="H22" s="7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">
      <c r="A23" s="72"/>
      <c r="B23" s="73"/>
      <c r="C23" s="73"/>
      <c r="D23" s="74"/>
      <c r="E23" s="75"/>
      <c r="F23" s="76"/>
      <c r="G23" s="76"/>
      <c r="H23" s="7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">
      <c r="A24" s="42"/>
      <c r="B24" s="42"/>
      <c r="C24" s="42"/>
      <c r="D24" s="43"/>
      <c r="E24" s="44"/>
      <c r="F24" s="43"/>
      <c r="G24" s="43"/>
      <c r="H24" s="43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A25" s="42"/>
      <c r="B25" s="42"/>
      <c r="C25" s="42"/>
      <c r="D25" s="43"/>
      <c r="E25" s="44"/>
      <c r="F25" s="43"/>
      <c r="G25" s="43"/>
      <c r="H25" s="4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">
      <c r="A26" s="42"/>
      <c r="B26" s="42"/>
      <c r="C26" s="42"/>
      <c r="D26" s="43"/>
      <c r="E26" s="44"/>
      <c r="F26" s="43"/>
      <c r="G26" s="43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">
      <c r="A27" s="42"/>
      <c r="B27" s="42"/>
      <c r="C27" s="42"/>
      <c r="D27" s="43"/>
      <c r="E27" s="44"/>
      <c r="F27" s="43"/>
      <c r="G27" s="43"/>
      <c r="H27" s="4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">
      <c r="A28" s="42"/>
      <c r="B28" s="42"/>
      <c r="C28" s="42"/>
      <c r="D28" s="43"/>
      <c r="E28" s="44"/>
      <c r="F28" s="43"/>
      <c r="G28" s="43"/>
      <c r="H28" s="43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">
      <c r="A29" s="42"/>
      <c r="B29" s="42"/>
      <c r="C29" s="42"/>
      <c r="D29" s="43"/>
      <c r="E29" s="44"/>
      <c r="F29" s="43"/>
      <c r="G29" s="43"/>
      <c r="H29" s="43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">
      <c r="A30" s="42"/>
      <c r="B30" s="42"/>
      <c r="C30" s="42"/>
      <c r="D30" s="43"/>
      <c r="E30" s="44"/>
      <c r="F30" s="43"/>
      <c r="G30" s="43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">
      <c r="A31" s="42"/>
      <c r="B31" s="42"/>
      <c r="C31" s="42"/>
      <c r="D31" s="43"/>
      <c r="E31" s="44"/>
      <c r="F31" s="43"/>
      <c r="G31" s="43"/>
      <c r="H31" s="43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">
      <c r="A32" s="42"/>
      <c r="B32" s="42"/>
      <c r="C32" s="42"/>
      <c r="D32" s="43"/>
      <c r="E32" s="44"/>
      <c r="F32" s="43"/>
      <c r="G32" s="43"/>
      <c r="H32" s="43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">
      <c r="A33" s="42"/>
      <c r="B33" s="42"/>
      <c r="C33" s="42"/>
      <c r="D33" s="43"/>
      <c r="E33" s="44"/>
      <c r="F33" s="43"/>
      <c r="G33" s="43"/>
      <c r="H33" s="43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">
      <c r="A34" s="42"/>
      <c r="B34" s="42"/>
      <c r="C34" s="42"/>
      <c r="D34" s="43"/>
      <c r="E34" s="44"/>
      <c r="F34" s="43"/>
      <c r="G34" s="43"/>
      <c r="H34" s="4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">
      <c r="A35" s="42"/>
      <c r="B35" s="42"/>
      <c r="C35" s="42"/>
      <c r="D35" s="43"/>
      <c r="E35" s="44"/>
      <c r="F35" s="43"/>
      <c r="G35" s="43"/>
      <c r="H35" s="43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">
      <c r="A36" s="42"/>
      <c r="B36" s="42"/>
      <c r="C36" s="42"/>
      <c r="D36" s="43"/>
      <c r="E36" s="44"/>
      <c r="F36" s="43"/>
      <c r="G36" s="43"/>
      <c r="H36" s="43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">
      <c r="A37" s="42"/>
      <c r="B37" s="42"/>
      <c r="C37" s="42"/>
      <c r="D37" s="43"/>
      <c r="E37" s="44"/>
      <c r="F37" s="43"/>
      <c r="G37" s="43"/>
      <c r="H37" s="43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">
      <c r="A38" s="42"/>
      <c r="B38" s="42"/>
      <c r="C38" s="42"/>
      <c r="D38" s="43"/>
      <c r="E38" s="44"/>
      <c r="F38" s="43"/>
      <c r="G38" s="43"/>
      <c r="H38" s="43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">
      <c r="A39" s="42"/>
      <c r="B39" s="42"/>
      <c r="C39" s="42"/>
      <c r="D39" s="43"/>
      <c r="E39" s="44"/>
      <c r="F39" s="43"/>
      <c r="G39" s="43"/>
      <c r="H39" s="43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">
      <c r="A40" s="42"/>
      <c r="B40" s="42"/>
      <c r="C40" s="42"/>
      <c r="D40" s="43"/>
      <c r="E40" s="44"/>
      <c r="F40" s="43"/>
      <c r="G40" s="43"/>
      <c r="H40" s="43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">
      <c r="A41" s="42"/>
      <c r="B41" s="42"/>
      <c r="C41" s="42"/>
      <c r="D41" s="43"/>
      <c r="E41" s="44"/>
      <c r="F41" s="43"/>
      <c r="G41" s="43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">
      <c r="A42" s="42"/>
      <c r="B42" s="42"/>
      <c r="C42" s="42"/>
      <c r="D42" s="43"/>
      <c r="E42" s="44"/>
      <c r="F42" s="43"/>
      <c r="G42" s="43"/>
      <c r="H42" s="4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">
      <c r="A43" s="42"/>
      <c r="B43" s="42"/>
      <c r="C43" s="42"/>
      <c r="D43" s="43"/>
      <c r="E43" s="44"/>
      <c r="F43" s="43"/>
      <c r="G43" s="43"/>
      <c r="H43" s="4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">
      <c r="A44" s="42"/>
      <c r="B44" s="42"/>
      <c r="C44" s="42"/>
      <c r="D44" s="43"/>
      <c r="E44" s="44"/>
      <c r="F44" s="43"/>
      <c r="G44" s="43"/>
      <c r="H44" s="43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">
      <c r="A45" s="42"/>
      <c r="B45" s="42"/>
      <c r="C45" s="42"/>
      <c r="D45" s="43"/>
      <c r="E45" s="44"/>
      <c r="F45" s="43"/>
      <c r="G45" s="43"/>
      <c r="H45" s="43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">
      <c r="A46" s="42"/>
      <c r="B46" s="42"/>
      <c r="C46" s="42"/>
      <c r="D46" s="43"/>
      <c r="E46" s="44"/>
      <c r="F46" s="43"/>
      <c r="G46" s="43"/>
      <c r="H46" s="4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">
      <c r="A47" s="42"/>
      <c r="B47" s="42"/>
      <c r="C47" s="42"/>
      <c r="D47" s="43"/>
      <c r="E47" s="44"/>
      <c r="F47" s="43"/>
      <c r="G47" s="43"/>
      <c r="H47" s="43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">
      <c r="A48" s="42"/>
      <c r="B48" s="42"/>
      <c r="C48" s="42"/>
      <c r="D48" s="43"/>
      <c r="E48" s="44"/>
      <c r="F48" s="43"/>
      <c r="G48" s="43"/>
      <c r="H48" s="43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">
      <c r="A49" s="42"/>
      <c r="B49" s="42"/>
      <c r="C49" s="42"/>
      <c r="D49" s="43"/>
      <c r="E49" s="44"/>
      <c r="F49" s="43"/>
      <c r="G49" s="43"/>
      <c r="H49" s="43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">
      <c r="A50" s="42"/>
      <c r="B50" s="42"/>
      <c r="C50" s="42"/>
      <c r="D50" s="43"/>
      <c r="E50" s="44"/>
      <c r="F50" s="43"/>
      <c r="G50" s="43"/>
      <c r="H50" s="43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">
      <c r="A51" s="42"/>
      <c r="B51" s="42"/>
      <c r="C51" s="42"/>
      <c r="D51" s="43"/>
      <c r="E51" s="44"/>
      <c r="F51" s="43"/>
      <c r="G51" s="43"/>
      <c r="H51" s="4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">
      <c r="A52" s="42"/>
      <c r="B52" s="42"/>
      <c r="C52" s="42"/>
      <c r="D52" s="43"/>
      <c r="E52" s="44"/>
      <c r="F52" s="43"/>
      <c r="G52" s="43"/>
      <c r="H52" s="43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">
      <c r="A53" s="42"/>
      <c r="B53" s="42"/>
      <c r="C53" s="42"/>
      <c r="D53" s="43"/>
      <c r="E53" s="44"/>
      <c r="F53" s="43"/>
      <c r="G53" s="43"/>
      <c r="H53" s="4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">
      <c r="A54" s="42"/>
      <c r="B54" s="42"/>
      <c r="C54" s="42"/>
      <c r="D54" s="43"/>
      <c r="E54" s="44"/>
      <c r="F54" s="43"/>
      <c r="G54" s="43"/>
      <c r="H54" s="4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">
      <c r="A55" s="42"/>
      <c r="B55" s="42"/>
      <c r="C55" s="42"/>
      <c r="D55" s="43"/>
      <c r="E55" s="44"/>
      <c r="F55" s="43"/>
      <c r="G55" s="43"/>
      <c r="H55" s="4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">
      <c r="A56" s="42"/>
      <c r="B56" s="42"/>
      <c r="C56" s="42"/>
      <c r="D56" s="43"/>
      <c r="E56" s="44"/>
      <c r="F56" s="43"/>
      <c r="G56" s="43"/>
      <c r="H56" s="4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">
      <c r="A57" s="42"/>
      <c r="B57" s="42"/>
      <c r="C57" s="42"/>
      <c r="D57" s="43"/>
      <c r="E57" s="44"/>
      <c r="F57" s="43"/>
      <c r="G57" s="43"/>
      <c r="H57" s="4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">
      <c r="A58" s="42"/>
      <c r="B58" s="42"/>
      <c r="C58" s="42"/>
      <c r="D58" s="43"/>
      <c r="E58" s="44"/>
      <c r="F58" s="43"/>
      <c r="G58" s="43"/>
      <c r="H58" s="4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">
      <c r="A59" s="42"/>
      <c r="B59" s="42"/>
      <c r="C59" s="42"/>
      <c r="D59" s="43"/>
      <c r="E59" s="44"/>
      <c r="F59" s="43"/>
      <c r="G59" s="43"/>
      <c r="H59" s="4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">
      <c r="A60" s="42"/>
      <c r="B60" s="42"/>
      <c r="C60" s="42"/>
      <c r="D60" s="43"/>
      <c r="E60" s="44"/>
      <c r="F60" s="43"/>
      <c r="G60" s="43"/>
      <c r="H60" s="4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">
      <c r="A61" s="42"/>
      <c r="B61" s="42"/>
      <c r="C61" s="42"/>
      <c r="D61" s="43"/>
      <c r="E61" s="44"/>
      <c r="F61" s="43"/>
      <c r="G61" s="43"/>
      <c r="H61" s="4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">
      <c r="A62" s="42"/>
      <c r="B62" s="42"/>
      <c r="C62" s="42"/>
      <c r="D62" s="43"/>
      <c r="E62" s="44"/>
      <c r="F62" s="43"/>
      <c r="G62" s="43"/>
      <c r="H62" s="4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">
      <c r="A63" s="42"/>
      <c r="B63" s="42"/>
      <c r="C63" s="42"/>
      <c r="D63" s="43"/>
      <c r="E63" s="44"/>
      <c r="F63" s="43"/>
      <c r="G63" s="43"/>
      <c r="H63" s="4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">
      <c r="A64" s="42"/>
      <c r="B64" s="42"/>
      <c r="C64" s="42"/>
      <c r="D64" s="43"/>
      <c r="E64" s="44"/>
      <c r="F64" s="43"/>
      <c r="G64" s="43"/>
      <c r="H64" s="4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">
      <c r="A65" s="42"/>
      <c r="B65" s="42"/>
      <c r="C65" s="42"/>
      <c r="D65" s="43"/>
      <c r="E65" s="44"/>
      <c r="F65" s="43"/>
      <c r="G65" s="43"/>
      <c r="H65" s="4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">
      <c r="A66" s="42"/>
      <c r="B66" s="42"/>
      <c r="C66" s="42"/>
      <c r="D66" s="43"/>
      <c r="E66" s="44"/>
      <c r="F66" s="43"/>
      <c r="G66" s="43"/>
      <c r="H66" s="4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">
      <c r="A67" s="42"/>
      <c r="B67" s="42"/>
      <c r="C67" s="42"/>
      <c r="D67" s="43"/>
      <c r="E67" s="44"/>
      <c r="F67" s="43"/>
      <c r="G67" s="43"/>
      <c r="H67" s="4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">
      <c r="A68" s="42"/>
      <c r="B68" s="42"/>
      <c r="C68" s="42"/>
      <c r="D68" s="43"/>
      <c r="E68" s="44"/>
      <c r="F68" s="43"/>
      <c r="G68" s="43"/>
      <c r="H68" s="4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">
      <c r="A69" s="42"/>
      <c r="B69" s="42"/>
      <c r="C69" s="42"/>
      <c r="D69" s="43"/>
      <c r="E69" s="44"/>
      <c r="F69" s="43"/>
      <c r="G69" s="43"/>
      <c r="H69" s="4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">
      <c r="A70" s="42"/>
      <c r="B70" s="42"/>
      <c r="C70" s="42"/>
      <c r="D70" s="43"/>
      <c r="E70" s="44"/>
      <c r="F70" s="43"/>
      <c r="G70" s="43"/>
      <c r="H70" s="4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">
      <c r="A71" s="42"/>
      <c r="B71" s="42"/>
      <c r="C71" s="42"/>
      <c r="D71" s="43"/>
      <c r="E71" s="44"/>
      <c r="F71" s="43"/>
      <c r="G71" s="43"/>
      <c r="H71" s="4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">
      <c r="A72" s="42"/>
      <c r="B72" s="42"/>
      <c r="C72" s="42"/>
      <c r="D72" s="43"/>
      <c r="E72" s="44"/>
      <c r="F72" s="43"/>
      <c r="G72" s="43"/>
      <c r="H72" s="4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">
      <c r="A73" s="42"/>
      <c r="B73" s="42"/>
      <c r="C73" s="42"/>
      <c r="D73" s="43"/>
      <c r="E73" s="44"/>
      <c r="F73" s="43"/>
      <c r="G73" s="43"/>
      <c r="H73" s="4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">
      <c r="A74" s="42"/>
      <c r="B74" s="42"/>
      <c r="C74" s="42"/>
      <c r="D74" s="43"/>
      <c r="E74" s="44"/>
      <c r="F74" s="43"/>
      <c r="G74" s="43"/>
      <c r="H74" s="4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">
      <c r="A75" s="42"/>
      <c r="B75" s="42"/>
      <c r="C75" s="42"/>
      <c r="D75" s="43"/>
      <c r="E75" s="44"/>
      <c r="F75" s="43"/>
      <c r="G75" s="43"/>
      <c r="H75" s="4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">
      <c r="A76" s="42"/>
      <c r="B76" s="42"/>
      <c r="C76" s="42"/>
      <c r="D76" s="43"/>
      <c r="E76" s="44"/>
      <c r="F76" s="43"/>
      <c r="G76" s="43"/>
      <c r="H76" s="4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">
      <c r="A77" s="42"/>
      <c r="B77" s="42"/>
      <c r="C77" s="42"/>
      <c r="D77" s="43"/>
      <c r="E77" s="44"/>
      <c r="F77" s="43"/>
      <c r="G77" s="43"/>
      <c r="H77" s="4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">
      <c r="A78" s="42"/>
      <c r="B78" s="42"/>
      <c r="C78" s="42"/>
      <c r="D78" s="43"/>
      <c r="E78" s="44"/>
      <c r="F78" s="43"/>
      <c r="G78" s="43"/>
      <c r="H78" s="4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">
      <c r="A79" s="42"/>
      <c r="B79" s="42"/>
      <c r="C79" s="42"/>
      <c r="D79" s="43"/>
      <c r="E79" s="44"/>
      <c r="F79" s="43"/>
      <c r="G79" s="43"/>
      <c r="H79" s="4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">
      <c r="A80" s="42"/>
      <c r="B80" s="42"/>
      <c r="C80" s="42"/>
      <c r="D80" s="43"/>
      <c r="E80" s="44"/>
      <c r="F80" s="43"/>
      <c r="G80" s="43"/>
      <c r="H80" s="4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">
      <c r="A81" s="42"/>
      <c r="B81" s="42"/>
      <c r="C81" s="42"/>
      <c r="D81" s="43"/>
      <c r="E81" s="44"/>
      <c r="F81" s="43"/>
      <c r="G81" s="43"/>
      <c r="H81" s="4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">
      <c r="A82" s="42"/>
      <c r="B82" s="42"/>
      <c r="C82" s="42"/>
      <c r="D82" s="43"/>
      <c r="E82" s="44"/>
      <c r="F82" s="43"/>
      <c r="G82" s="43"/>
      <c r="H82" s="4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">
      <c r="A83" s="42"/>
      <c r="B83" s="42"/>
      <c r="C83" s="42"/>
      <c r="D83" s="43"/>
      <c r="E83" s="44"/>
      <c r="F83" s="43"/>
      <c r="G83" s="43"/>
      <c r="H83" s="4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">
      <c r="A84" s="42"/>
      <c r="B84" s="42"/>
      <c r="C84" s="42"/>
      <c r="D84" s="43"/>
      <c r="E84" s="44"/>
      <c r="F84" s="43"/>
      <c r="G84" s="43"/>
      <c r="H84" s="4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">
      <c r="A85" s="42"/>
      <c r="B85" s="42"/>
      <c r="C85" s="42"/>
      <c r="D85" s="43"/>
      <c r="E85" s="44"/>
      <c r="F85" s="43"/>
      <c r="G85" s="43"/>
      <c r="H85" s="4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">
      <c r="A86" s="42"/>
      <c r="B86" s="42"/>
      <c r="C86" s="42"/>
      <c r="D86" s="43"/>
      <c r="E86" s="44"/>
      <c r="F86" s="43"/>
      <c r="G86" s="43"/>
      <c r="H86" s="4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">
      <c r="A87" s="42"/>
      <c r="B87" s="42"/>
      <c r="C87" s="42"/>
      <c r="D87" s="43"/>
      <c r="E87" s="44"/>
      <c r="F87" s="43"/>
      <c r="G87" s="43"/>
      <c r="H87" s="4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">
      <c r="A88" s="42"/>
      <c r="B88" s="42"/>
      <c r="C88" s="42"/>
      <c r="D88" s="43"/>
      <c r="E88" s="44"/>
      <c r="F88" s="43"/>
      <c r="G88" s="43"/>
      <c r="H88" s="4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">
      <c r="A89" s="42"/>
      <c r="B89" s="42"/>
      <c r="C89" s="42"/>
      <c r="D89" s="43"/>
      <c r="E89" s="44"/>
      <c r="F89" s="43"/>
      <c r="G89" s="43"/>
      <c r="H89" s="4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">
      <c r="A90" s="42"/>
      <c r="B90" s="42"/>
      <c r="C90" s="42"/>
      <c r="D90" s="43"/>
      <c r="E90" s="44"/>
      <c r="F90" s="43"/>
      <c r="G90" s="43"/>
      <c r="H90" s="4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">
      <c r="A91" s="42"/>
      <c r="B91" s="42"/>
      <c r="C91" s="42"/>
      <c r="D91" s="43"/>
      <c r="E91" s="44"/>
      <c r="F91" s="43"/>
      <c r="G91" s="43"/>
      <c r="H91" s="4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">
      <c r="A92" s="42"/>
      <c r="B92" s="42"/>
      <c r="C92" s="42"/>
      <c r="D92" s="43"/>
      <c r="E92" s="44"/>
      <c r="F92" s="43"/>
      <c r="G92" s="43"/>
      <c r="H92" s="4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">
      <c r="A93" s="42"/>
      <c r="B93" s="42"/>
      <c r="C93" s="42"/>
      <c r="D93" s="43"/>
      <c r="E93" s="44"/>
      <c r="F93" s="43"/>
      <c r="G93" s="43"/>
      <c r="H93" s="4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">
      <c r="A94" s="42"/>
      <c r="B94" s="42"/>
      <c r="C94" s="42"/>
      <c r="D94" s="43"/>
      <c r="E94" s="44"/>
      <c r="F94" s="43"/>
      <c r="G94" s="43"/>
      <c r="H94" s="4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">
      <c r="A95" s="42"/>
      <c r="B95" s="42"/>
      <c r="C95" s="42"/>
      <c r="D95" s="43"/>
      <c r="E95" s="44"/>
      <c r="F95" s="43"/>
      <c r="G95" s="43"/>
      <c r="H95" s="4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">
      <c r="A96" s="42"/>
      <c r="B96" s="42"/>
      <c r="C96" s="42"/>
      <c r="D96" s="43"/>
      <c r="E96" s="44"/>
      <c r="F96" s="43"/>
      <c r="G96" s="43"/>
      <c r="H96" s="4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">
      <c r="A97" s="42"/>
      <c r="B97" s="42"/>
      <c r="C97" s="42"/>
      <c r="D97" s="43"/>
      <c r="E97" s="44"/>
      <c r="F97" s="43"/>
      <c r="G97" s="43"/>
      <c r="H97" s="4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">
      <c r="A98" s="42"/>
      <c r="B98" s="42"/>
      <c r="C98" s="42"/>
      <c r="D98" s="43"/>
      <c r="E98" s="44"/>
      <c r="F98" s="43"/>
      <c r="G98" s="43"/>
      <c r="H98" s="4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">
      <c r="A99" s="42"/>
      <c r="B99" s="42"/>
      <c r="C99" s="42"/>
      <c r="D99" s="43"/>
      <c r="E99" s="44"/>
      <c r="F99" s="43"/>
      <c r="G99" s="43"/>
      <c r="H99" s="4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">
      <c r="A100" s="42"/>
      <c r="B100" s="42"/>
      <c r="C100" s="42"/>
      <c r="D100" s="43"/>
      <c r="E100" s="44"/>
      <c r="F100" s="43"/>
      <c r="G100" s="43"/>
      <c r="H100" s="4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">
      <c r="A101" s="42"/>
      <c r="B101" s="42"/>
      <c r="C101" s="42"/>
      <c r="D101" s="43"/>
      <c r="E101" s="44"/>
      <c r="F101" s="43"/>
      <c r="G101" s="43"/>
      <c r="H101" s="4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">
      <c r="A102" s="42"/>
      <c r="B102" s="42"/>
      <c r="C102" s="42"/>
      <c r="D102" s="43"/>
      <c r="E102" s="44"/>
      <c r="F102" s="43"/>
      <c r="G102" s="43"/>
      <c r="H102" s="4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">
      <c r="A103" s="42"/>
      <c r="B103" s="42"/>
      <c r="C103" s="42"/>
      <c r="D103" s="43"/>
      <c r="E103" s="44"/>
      <c r="F103" s="43"/>
      <c r="G103" s="43"/>
      <c r="H103" s="4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">
      <c r="A104" s="42"/>
      <c r="B104" s="42"/>
      <c r="C104" s="42"/>
      <c r="D104" s="43"/>
      <c r="E104" s="44"/>
      <c r="F104" s="43"/>
      <c r="G104" s="43"/>
      <c r="H104" s="4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">
      <c r="A105" s="42"/>
      <c r="B105" s="42"/>
      <c r="C105" s="42"/>
      <c r="D105" s="43"/>
      <c r="E105" s="44"/>
      <c r="F105" s="43"/>
      <c r="G105" s="43"/>
      <c r="H105" s="4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">
      <c r="A106" s="42"/>
      <c r="B106" s="42"/>
      <c r="C106" s="42"/>
      <c r="D106" s="43"/>
      <c r="E106" s="44"/>
      <c r="F106" s="43"/>
      <c r="G106" s="43"/>
      <c r="H106" s="4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">
      <c r="A107" s="42"/>
      <c r="B107" s="42"/>
      <c r="C107" s="42"/>
      <c r="D107" s="43"/>
      <c r="E107" s="44"/>
      <c r="F107" s="43"/>
      <c r="G107" s="43"/>
      <c r="H107" s="4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">
      <c r="A108" s="42"/>
      <c r="B108" s="42"/>
      <c r="C108" s="42"/>
      <c r="D108" s="43"/>
      <c r="E108" s="44"/>
      <c r="F108" s="43"/>
      <c r="G108" s="43"/>
      <c r="H108" s="4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">
      <c r="A109" s="42"/>
      <c r="B109" s="42"/>
      <c r="C109" s="42"/>
      <c r="D109" s="43"/>
      <c r="E109" s="44"/>
      <c r="F109" s="43"/>
      <c r="G109" s="43"/>
      <c r="H109" s="4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">
      <c r="A110" s="42"/>
      <c r="B110" s="42"/>
      <c r="C110" s="42"/>
      <c r="D110" s="43"/>
      <c r="E110" s="44"/>
      <c r="F110" s="43"/>
      <c r="G110" s="43"/>
      <c r="H110" s="4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">
      <c r="A111" s="42"/>
      <c r="B111" s="42"/>
      <c r="C111" s="42"/>
      <c r="D111" s="43"/>
      <c r="E111" s="44"/>
      <c r="F111" s="43"/>
      <c r="G111" s="43"/>
      <c r="H111" s="4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">
      <c r="A112" s="42"/>
      <c r="B112" s="42"/>
      <c r="C112" s="42"/>
      <c r="D112" s="43"/>
      <c r="E112" s="44"/>
      <c r="F112" s="43"/>
      <c r="G112" s="43"/>
      <c r="H112" s="4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">
      <c r="A113" s="42"/>
      <c r="B113" s="42"/>
      <c r="C113" s="42"/>
      <c r="D113" s="43"/>
      <c r="E113" s="44"/>
      <c r="F113" s="43"/>
      <c r="G113" s="43"/>
      <c r="H113" s="4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">
      <c r="A114" s="42"/>
      <c r="B114" s="42"/>
      <c r="C114" s="42"/>
      <c r="D114" s="43"/>
      <c r="E114" s="44"/>
      <c r="F114" s="43"/>
      <c r="G114" s="43"/>
      <c r="H114" s="4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">
      <c r="A115" s="42"/>
      <c r="B115" s="42"/>
      <c r="C115" s="42"/>
      <c r="D115" s="43"/>
      <c r="E115" s="44"/>
      <c r="F115" s="43"/>
      <c r="G115" s="43"/>
      <c r="H115" s="4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">
      <c r="A116" s="42"/>
      <c r="B116" s="42"/>
      <c r="C116" s="42"/>
      <c r="D116" s="43"/>
      <c r="E116" s="44"/>
      <c r="F116" s="43"/>
      <c r="G116" s="43"/>
      <c r="H116" s="4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">
      <c r="A117" s="42"/>
      <c r="B117" s="42"/>
      <c r="C117" s="42"/>
      <c r="D117" s="43"/>
      <c r="E117" s="44"/>
      <c r="F117" s="43"/>
      <c r="G117" s="43"/>
      <c r="H117" s="4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">
      <c r="A118" s="42"/>
      <c r="B118" s="42"/>
      <c r="C118" s="42"/>
      <c r="D118" s="43"/>
      <c r="E118" s="44"/>
      <c r="F118" s="43"/>
      <c r="G118" s="43"/>
      <c r="H118" s="4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">
      <c r="A119" s="42"/>
      <c r="B119" s="42"/>
      <c r="C119" s="42"/>
      <c r="D119" s="43"/>
      <c r="E119" s="44"/>
      <c r="F119" s="43"/>
      <c r="G119" s="43"/>
      <c r="H119" s="4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">
      <c r="A120" s="42"/>
      <c r="B120" s="42"/>
      <c r="C120" s="42"/>
      <c r="D120" s="43"/>
      <c r="E120" s="44"/>
      <c r="F120" s="43"/>
      <c r="G120" s="43"/>
      <c r="H120" s="4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">
      <c r="A121" s="42"/>
      <c r="B121" s="42"/>
      <c r="C121" s="42"/>
      <c r="D121" s="43"/>
      <c r="E121" s="44"/>
      <c r="F121" s="43"/>
      <c r="G121" s="43"/>
      <c r="H121" s="4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">
      <c r="A122" s="42"/>
      <c r="B122" s="42"/>
      <c r="C122" s="42"/>
      <c r="D122" s="43"/>
      <c r="E122" s="44"/>
      <c r="F122" s="43"/>
      <c r="G122" s="43"/>
      <c r="H122" s="4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">
      <c r="A123" s="42"/>
      <c r="B123" s="42"/>
      <c r="C123" s="42"/>
      <c r="D123" s="43"/>
      <c r="E123" s="44"/>
      <c r="F123" s="43"/>
      <c r="G123" s="43"/>
      <c r="H123" s="4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">
      <c r="A124" s="42"/>
      <c r="B124" s="42"/>
      <c r="C124" s="42"/>
      <c r="D124" s="43"/>
      <c r="E124" s="44"/>
      <c r="F124" s="43"/>
      <c r="G124" s="43"/>
      <c r="H124" s="4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">
      <c r="A125" s="42"/>
      <c r="B125" s="42"/>
      <c r="C125" s="42"/>
      <c r="D125" s="43"/>
      <c r="E125" s="44"/>
      <c r="F125" s="43"/>
      <c r="G125" s="43"/>
      <c r="H125" s="4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">
      <c r="A126" s="42"/>
      <c r="B126" s="42"/>
      <c r="C126" s="42"/>
      <c r="D126" s="43"/>
      <c r="E126" s="44"/>
      <c r="F126" s="43"/>
      <c r="G126" s="43"/>
      <c r="H126" s="4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">
      <c r="A127" s="42"/>
      <c r="B127" s="42"/>
      <c r="C127" s="42"/>
      <c r="D127" s="43"/>
      <c r="E127" s="44"/>
      <c r="F127" s="43"/>
      <c r="G127" s="43"/>
      <c r="H127" s="4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">
      <c r="A128" s="42"/>
      <c r="B128" s="42"/>
      <c r="C128" s="42"/>
      <c r="D128" s="43"/>
      <c r="E128" s="44"/>
      <c r="F128" s="43"/>
      <c r="G128" s="43"/>
      <c r="H128" s="4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">
      <c r="A129" s="42"/>
      <c r="B129" s="42"/>
      <c r="C129" s="42"/>
      <c r="D129" s="43"/>
      <c r="E129" s="44"/>
      <c r="F129" s="43"/>
      <c r="G129" s="43"/>
      <c r="H129" s="4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">
      <c r="A130" s="42"/>
      <c r="B130" s="42"/>
      <c r="C130" s="42"/>
      <c r="D130" s="43"/>
      <c r="E130" s="44"/>
      <c r="F130" s="43"/>
      <c r="G130" s="43"/>
      <c r="H130" s="4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">
      <c r="A131" s="42"/>
      <c r="B131" s="42"/>
      <c r="C131" s="42"/>
      <c r="D131" s="43"/>
      <c r="E131" s="44"/>
      <c r="F131" s="43"/>
      <c r="G131" s="43"/>
      <c r="H131" s="4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">
      <c r="A132" s="42"/>
      <c r="B132" s="42"/>
      <c r="C132" s="42"/>
      <c r="D132" s="43"/>
      <c r="E132" s="44"/>
      <c r="F132" s="43"/>
      <c r="G132" s="43"/>
      <c r="H132" s="4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">
      <c r="A133" s="42"/>
      <c r="B133" s="42"/>
      <c r="C133" s="42"/>
      <c r="D133" s="43"/>
      <c r="E133" s="44"/>
      <c r="F133" s="43"/>
      <c r="G133" s="43"/>
      <c r="H133" s="4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">
      <c r="A134" s="42"/>
      <c r="B134" s="42"/>
      <c r="C134" s="42"/>
      <c r="D134" s="43"/>
      <c r="E134" s="44"/>
      <c r="F134" s="43"/>
      <c r="G134" s="43"/>
      <c r="H134" s="4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">
      <c r="A135" s="42"/>
      <c r="B135" s="42"/>
      <c r="C135" s="42"/>
      <c r="D135" s="43"/>
      <c r="E135" s="44"/>
      <c r="F135" s="43"/>
      <c r="G135" s="43"/>
      <c r="H135" s="4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">
      <c r="A136" s="42"/>
      <c r="B136" s="42"/>
      <c r="C136" s="42"/>
      <c r="D136" s="43"/>
      <c r="E136" s="44"/>
      <c r="F136" s="43"/>
      <c r="G136" s="43"/>
      <c r="H136" s="4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">
      <c r="A137" s="42"/>
      <c r="B137" s="42"/>
      <c r="C137" s="42"/>
      <c r="D137" s="43"/>
      <c r="E137" s="44"/>
      <c r="F137" s="43"/>
      <c r="G137" s="43"/>
      <c r="H137" s="4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">
      <c r="A138" s="42"/>
      <c r="B138" s="42"/>
      <c r="C138" s="42"/>
      <c r="D138" s="43"/>
      <c r="E138" s="44"/>
      <c r="F138" s="43"/>
      <c r="G138" s="43"/>
      <c r="H138" s="4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">
      <c r="A139" s="42"/>
      <c r="B139" s="42"/>
      <c r="C139" s="42"/>
      <c r="D139" s="43"/>
      <c r="E139" s="44"/>
      <c r="F139" s="43"/>
      <c r="G139" s="43"/>
      <c r="H139" s="4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">
      <c r="A140" s="42"/>
      <c r="B140" s="42"/>
      <c r="C140" s="42"/>
      <c r="D140" s="43"/>
      <c r="E140" s="44"/>
      <c r="F140" s="43"/>
      <c r="G140" s="43"/>
      <c r="H140" s="4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">
      <c r="A141" s="42"/>
      <c r="B141" s="42"/>
      <c r="C141" s="42"/>
      <c r="D141" s="43"/>
      <c r="E141" s="44"/>
      <c r="F141" s="43"/>
      <c r="G141" s="43"/>
      <c r="H141" s="4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">
      <c r="A142" s="42"/>
      <c r="B142" s="42"/>
      <c r="C142" s="42"/>
      <c r="D142" s="43"/>
      <c r="E142" s="44"/>
      <c r="F142" s="43"/>
      <c r="G142" s="43"/>
      <c r="H142" s="4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">
      <c r="A143" s="42"/>
      <c r="B143" s="42"/>
      <c r="C143" s="42"/>
      <c r="D143" s="43"/>
      <c r="E143" s="44"/>
      <c r="F143" s="43"/>
      <c r="G143" s="43"/>
      <c r="H143" s="4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">
      <c r="A144" s="42"/>
      <c r="B144" s="42"/>
      <c r="C144" s="42"/>
      <c r="D144" s="43"/>
      <c r="E144" s="44"/>
      <c r="F144" s="43"/>
      <c r="G144" s="43"/>
      <c r="H144" s="4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">
      <c r="A145" s="42"/>
      <c r="B145" s="42"/>
      <c r="C145" s="42"/>
      <c r="D145" s="43"/>
      <c r="E145" s="44"/>
      <c r="F145" s="43"/>
      <c r="G145" s="43"/>
      <c r="H145" s="4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">
      <c r="A146" s="42"/>
      <c r="B146" s="42"/>
      <c r="C146" s="42"/>
      <c r="D146" s="43"/>
      <c r="E146" s="44"/>
      <c r="F146" s="43"/>
      <c r="G146" s="43"/>
      <c r="H146" s="4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">
      <c r="A147" s="42"/>
      <c r="B147" s="42"/>
      <c r="C147" s="42"/>
      <c r="D147" s="43"/>
      <c r="E147" s="44"/>
      <c r="F147" s="43"/>
      <c r="G147" s="43"/>
      <c r="H147" s="4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">
      <c r="A148" s="42"/>
      <c r="B148" s="42"/>
      <c r="C148" s="42"/>
      <c r="D148" s="43"/>
      <c r="E148" s="44"/>
      <c r="F148" s="43"/>
      <c r="G148" s="43"/>
      <c r="H148" s="4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">
      <c r="A149" s="42"/>
      <c r="B149" s="42"/>
      <c r="C149" s="42"/>
      <c r="D149" s="43"/>
      <c r="E149" s="44"/>
      <c r="F149" s="43"/>
      <c r="G149" s="43"/>
      <c r="H149" s="4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">
      <c r="A150" s="42"/>
      <c r="B150" s="42"/>
      <c r="C150" s="42"/>
      <c r="D150" s="43"/>
      <c r="E150" s="44"/>
      <c r="F150" s="43"/>
      <c r="G150" s="43"/>
      <c r="H150" s="4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">
      <c r="A151" s="42"/>
      <c r="B151" s="42"/>
      <c r="C151" s="42"/>
      <c r="D151" s="43"/>
      <c r="E151" s="44"/>
      <c r="F151" s="43"/>
      <c r="G151" s="43"/>
      <c r="H151" s="4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">
      <c r="A152" s="42"/>
      <c r="B152" s="42"/>
      <c r="C152" s="42"/>
      <c r="D152" s="43"/>
      <c r="E152" s="44"/>
      <c r="F152" s="43"/>
      <c r="G152" s="43"/>
      <c r="H152" s="4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">
      <c r="A153" s="42"/>
      <c r="B153" s="42"/>
      <c r="C153" s="42"/>
      <c r="D153" s="43"/>
      <c r="E153" s="44"/>
      <c r="F153" s="43"/>
      <c r="G153" s="43"/>
      <c r="H153" s="4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">
      <c r="A154" s="42"/>
      <c r="B154" s="42"/>
      <c r="C154" s="42"/>
      <c r="D154" s="43"/>
      <c r="E154" s="44"/>
      <c r="F154" s="43"/>
      <c r="G154" s="43"/>
      <c r="H154" s="4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">
      <c r="A155" s="42"/>
      <c r="B155" s="42"/>
      <c r="C155" s="42"/>
      <c r="D155" s="43"/>
      <c r="E155" s="44"/>
      <c r="F155" s="43"/>
      <c r="G155" s="43"/>
      <c r="H155" s="4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">
      <c r="A156" s="42"/>
      <c r="B156" s="42"/>
      <c r="C156" s="42"/>
      <c r="D156" s="43"/>
      <c r="E156" s="44"/>
      <c r="F156" s="43"/>
      <c r="G156" s="43"/>
      <c r="H156" s="4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">
      <c r="A157" s="42"/>
      <c r="B157" s="42"/>
      <c r="C157" s="42"/>
      <c r="D157" s="43"/>
      <c r="E157" s="44"/>
      <c r="F157" s="43"/>
      <c r="G157" s="43"/>
      <c r="H157" s="4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">
      <c r="A158" s="42"/>
      <c r="B158" s="42"/>
      <c r="C158" s="42"/>
      <c r="D158" s="43"/>
      <c r="E158" s="44"/>
      <c r="F158" s="43"/>
      <c r="G158" s="43"/>
      <c r="H158" s="4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">
      <c r="A159" s="42"/>
      <c r="B159" s="42"/>
      <c r="C159" s="42"/>
      <c r="D159" s="43"/>
      <c r="E159" s="44"/>
      <c r="F159" s="43"/>
      <c r="G159" s="43"/>
      <c r="H159" s="4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">
      <c r="A160" s="42"/>
      <c r="B160" s="42"/>
      <c r="C160" s="42"/>
      <c r="D160" s="43"/>
      <c r="E160" s="44"/>
      <c r="F160" s="43"/>
      <c r="G160" s="43"/>
      <c r="H160" s="4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">
      <c r="A161" s="42"/>
      <c r="B161" s="42"/>
      <c r="C161" s="42"/>
      <c r="D161" s="43"/>
      <c r="E161" s="44"/>
      <c r="F161" s="43"/>
      <c r="G161" s="43"/>
      <c r="H161" s="4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">
      <c r="A162" s="42"/>
      <c r="B162" s="42"/>
      <c r="C162" s="42"/>
      <c r="D162" s="43"/>
      <c r="E162" s="44"/>
      <c r="F162" s="43"/>
      <c r="G162" s="43"/>
      <c r="H162" s="4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">
      <c r="A163" s="42"/>
      <c r="B163" s="42"/>
      <c r="C163" s="42"/>
      <c r="D163" s="43"/>
      <c r="E163" s="44"/>
      <c r="F163" s="43"/>
      <c r="G163" s="43"/>
      <c r="H163" s="4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">
      <c r="A164" s="42"/>
      <c r="B164" s="42"/>
      <c r="C164" s="42"/>
      <c r="D164" s="43"/>
      <c r="E164" s="44"/>
      <c r="F164" s="43"/>
      <c r="G164" s="43"/>
      <c r="H164" s="4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">
      <c r="A165" s="42"/>
      <c r="B165" s="42"/>
      <c r="C165" s="42"/>
      <c r="D165" s="43"/>
      <c r="E165" s="44"/>
      <c r="F165" s="43"/>
      <c r="G165" s="43"/>
      <c r="H165" s="4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">
      <c r="A166" s="42"/>
      <c r="B166" s="42"/>
      <c r="C166" s="42"/>
      <c r="D166" s="43"/>
      <c r="E166" s="44"/>
      <c r="F166" s="43"/>
      <c r="G166" s="43"/>
      <c r="H166" s="4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">
      <c r="A167" s="42"/>
      <c r="B167" s="42"/>
      <c r="C167" s="42"/>
      <c r="D167" s="43"/>
      <c r="E167" s="44"/>
      <c r="F167" s="43"/>
      <c r="G167" s="43"/>
      <c r="H167" s="4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">
      <c r="A168" s="42"/>
      <c r="B168" s="42"/>
      <c r="C168" s="42"/>
      <c r="D168" s="43"/>
      <c r="E168" s="44"/>
      <c r="F168" s="43"/>
      <c r="G168" s="43"/>
      <c r="H168" s="4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">
      <c r="A169" s="42"/>
      <c r="B169" s="42"/>
      <c r="C169" s="42"/>
      <c r="D169" s="43"/>
      <c r="E169" s="44"/>
      <c r="F169" s="43"/>
      <c r="G169" s="43"/>
      <c r="H169" s="4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">
      <c r="A170" s="42"/>
      <c r="B170" s="42"/>
      <c r="C170" s="42"/>
      <c r="D170" s="43"/>
      <c r="E170" s="44"/>
      <c r="F170" s="43"/>
      <c r="G170" s="43"/>
      <c r="H170" s="4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">
      <c r="A171" s="42"/>
      <c r="B171" s="42"/>
      <c r="C171" s="42"/>
      <c r="D171" s="43"/>
      <c r="E171" s="44"/>
      <c r="F171" s="43"/>
      <c r="G171" s="43"/>
      <c r="H171" s="4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">
      <c r="A172" s="42"/>
      <c r="B172" s="42"/>
      <c r="C172" s="42"/>
      <c r="D172" s="43"/>
      <c r="E172" s="44"/>
      <c r="F172" s="43"/>
      <c r="G172" s="43"/>
      <c r="H172" s="4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">
      <c r="A173" s="42"/>
      <c r="B173" s="42"/>
      <c r="C173" s="42"/>
      <c r="D173" s="43"/>
      <c r="E173" s="44"/>
      <c r="F173" s="43"/>
      <c r="G173" s="43"/>
      <c r="H173" s="4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">
      <c r="A174" s="42"/>
      <c r="B174" s="42"/>
      <c r="C174" s="42"/>
      <c r="D174" s="43"/>
      <c r="E174" s="44"/>
      <c r="F174" s="43"/>
      <c r="G174" s="43"/>
      <c r="H174" s="4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">
      <c r="A175" s="42"/>
      <c r="B175" s="42"/>
      <c r="C175" s="42"/>
      <c r="D175" s="43"/>
      <c r="E175" s="44"/>
      <c r="F175" s="43"/>
      <c r="G175" s="43"/>
      <c r="H175" s="4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">
      <c r="A176" s="42"/>
      <c r="B176" s="42"/>
      <c r="C176" s="42"/>
      <c r="D176" s="43"/>
      <c r="E176" s="44"/>
      <c r="F176" s="43"/>
      <c r="G176" s="43"/>
      <c r="H176" s="4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">
      <c r="A177" s="42"/>
      <c r="B177" s="42"/>
      <c r="C177" s="42"/>
      <c r="D177" s="43"/>
      <c r="E177" s="44"/>
      <c r="F177" s="43"/>
      <c r="G177" s="43"/>
      <c r="H177" s="4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">
      <c r="A178" s="42"/>
      <c r="B178" s="42"/>
      <c r="C178" s="42"/>
      <c r="D178" s="43"/>
      <c r="E178" s="44"/>
      <c r="F178" s="43"/>
      <c r="G178" s="43"/>
      <c r="H178" s="4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">
      <c r="A179" s="42"/>
      <c r="B179" s="42"/>
      <c r="C179" s="42"/>
      <c r="D179" s="43"/>
      <c r="E179" s="44"/>
      <c r="F179" s="43"/>
      <c r="G179" s="43"/>
      <c r="H179" s="4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">
      <c r="A180" s="42"/>
      <c r="B180" s="42"/>
      <c r="C180" s="42"/>
      <c r="D180" s="43"/>
      <c r="E180" s="44"/>
      <c r="F180" s="43"/>
      <c r="G180" s="43"/>
      <c r="H180" s="4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">
      <c r="A181" s="42"/>
      <c r="B181" s="42"/>
      <c r="C181" s="42"/>
      <c r="D181" s="43"/>
      <c r="E181" s="44"/>
      <c r="F181" s="43"/>
      <c r="G181" s="43"/>
      <c r="H181" s="4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">
      <c r="A182" s="42"/>
      <c r="B182" s="42"/>
      <c r="C182" s="42"/>
      <c r="D182" s="43"/>
      <c r="E182" s="44"/>
      <c r="F182" s="43"/>
      <c r="G182" s="43"/>
      <c r="H182" s="4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">
      <c r="A183" s="42"/>
      <c r="B183" s="42"/>
      <c r="C183" s="42"/>
      <c r="D183" s="43"/>
      <c r="E183" s="44"/>
      <c r="F183" s="43"/>
      <c r="G183" s="43"/>
      <c r="H183" s="4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">
      <c r="A184" s="42"/>
      <c r="B184" s="42"/>
      <c r="C184" s="42"/>
      <c r="D184" s="43"/>
      <c r="E184" s="44"/>
      <c r="F184" s="43"/>
      <c r="G184" s="43"/>
      <c r="H184" s="4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">
      <c r="A185" s="42"/>
      <c r="B185" s="42"/>
      <c r="C185" s="42"/>
      <c r="D185" s="43"/>
      <c r="E185" s="44"/>
      <c r="F185" s="43"/>
      <c r="G185" s="43"/>
      <c r="H185" s="4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">
      <c r="A186" s="42"/>
      <c r="B186" s="42"/>
      <c r="C186" s="42"/>
      <c r="D186" s="43"/>
      <c r="E186" s="44"/>
      <c r="F186" s="43"/>
      <c r="G186" s="43"/>
      <c r="H186" s="4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">
      <c r="A187" s="42"/>
      <c r="B187" s="42"/>
      <c r="C187" s="42"/>
      <c r="D187" s="43"/>
      <c r="E187" s="44"/>
      <c r="F187" s="43"/>
      <c r="G187" s="43"/>
      <c r="H187" s="4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">
      <c r="A188" s="42"/>
      <c r="B188" s="42"/>
      <c r="C188" s="42"/>
      <c r="D188" s="43"/>
      <c r="E188" s="44"/>
      <c r="F188" s="43"/>
      <c r="G188" s="43"/>
      <c r="H188" s="4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">
      <c r="A189" s="42"/>
      <c r="B189" s="42"/>
      <c r="C189" s="42"/>
      <c r="D189" s="43"/>
      <c r="E189" s="44"/>
      <c r="F189" s="43"/>
      <c r="G189" s="43"/>
      <c r="H189" s="4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">
      <c r="A190" s="42"/>
      <c r="B190" s="42"/>
      <c r="C190" s="42"/>
      <c r="D190" s="43"/>
      <c r="E190" s="44"/>
      <c r="F190" s="43"/>
      <c r="G190" s="43"/>
      <c r="H190" s="4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">
      <c r="A191" s="42"/>
      <c r="B191" s="42"/>
      <c r="C191" s="42"/>
      <c r="D191" s="43"/>
      <c r="E191" s="44"/>
      <c r="F191" s="43"/>
      <c r="G191" s="43"/>
      <c r="H191" s="4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">
      <c r="A192" s="42"/>
      <c r="B192" s="42"/>
      <c r="C192" s="42"/>
      <c r="D192" s="43"/>
      <c r="E192" s="44"/>
      <c r="F192" s="43"/>
      <c r="G192" s="43"/>
      <c r="H192" s="4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">
      <c r="A193" s="42"/>
      <c r="B193" s="42"/>
      <c r="C193" s="42"/>
      <c r="D193" s="43"/>
      <c r="E193" s="44"/>
      <c r="F193" s="43"/>
      <c r="G193" s="43"/>
      <c r="H193" s="4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">
      <c r="A194" s="42"/>
      <c r="B194" s="42"/>
      <c r="C194" s="42"/>
      <c r="D194" s="43"/>
      <c r="E194" s="44"/>
      <c r="F194" s="43"/>
      <c r="G194" s="43"/>
      <c r="H194" s="4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">
      <c r="A195" s="42"/>
      <c r="B195" s="42"/>
      <c r="C195" s="42"/>
      <c r="D195" s="43"/>
      <c r="E195" s="44"/>
      <c r="F195" s="43"/>
      <c r="G195" s="43"/>
      <c r="H195" s="4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">
      <c r="A196" s="42"/>
      <c r="B196" s="42"/>
      <c r="C196" s="42"/>
      <c r="D196" s="43"/>
      <c r="E196" s="44"/>
      <c r="F196" s="43"/>
      <c r="G196" s="43"/>
      <c r="H196" s="4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">
      <c r="A197" s="42"/>
      <c r="B197" s="42"/>
      <c r="C197" s="42"/>
      <c r="D197" s="43"/>
      <c r="E197" s="44"/>
      <c r="F197" s="43"/>
      <c r="G197" s="43"/>
      <c r="H197" s="4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">
      <c r="A198" s="42"/>
      <c r="B198" s="42"/>
      <c r="C198" s="42"/>
      <c r="D198" s="43"/>
      <c r="E198" s="44"/>
      <c r="F198" s="43"/>
      <c r="G198" s="43"/>
      <c r="H198" s="4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">
      <c r="A199" s="42"/>
      <c r="B199" s="42"/>
      <c r="C199" s="42"/>
      <c r="D199" s="43"/>
      <c r="E199" s="44"/>
      <c r="F199" s="43"/>
      <c r="G199" s="43"/>
      <c r="H199" s="4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">
      <c r="A200" s="42"/>
      <c r="B200" s="42"/>
      <c r="C200" s="42"/>
      <c r="D200" s="43"/>
      <c r="E200" s="44"/>
      <c r="F200" s="43"/>
      <c r="G200" s="43"/>
      <c r="H200" s="4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">
      <c r="A201" s="42"/>
      <c r="B201" s="42"/>
      <c r="C201" s="42"/>
      <c r="D201" s="43"/>
      <c r="E201" s="44"/>
      <c r="F201" s="43"/>
      <c r="G201" s="43"/>
      <c r="H201" s="4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">
      <c r="A202" s="42"/>
      <c r="B202" s="42"/>
      <c r="C202" s="42"/>
      <c r="D202" s="43"/>
      <c r="E202" s="44"/>
      <c r="F202" s="43"/>
      <c r="G202" s="43"/>
      <c r="H202" s="4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">
      <c r="A203" s="42"/>
      <c r="B203" s="42"/>
      <c r="C203" s="42"/>
      <c r="D203" s="43"/>
      <c r="E203" s="44"/>
      <c r="F203" s="43"/>
      <c r="G203" s="43"/>
      <c r="H203" s="4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">
      <c r="A204" s="42"/>
      <c r="B204" s="42"/>
      <c r="C204" s="42"/>
      <c r="D204" s="43"/>
      <c r="E204" s="44"/>
      <c r="F204" s="43"/>
      <c r="G204" s="43"/>
      <c r="H204" s="4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">
      <c r="A205" s="42"/>
      <c r="B205" s="42"/>
      <c r="C205" s="42"/>
      <c r="D205" s="43"/>
      <c r="E205" s="44"/>
      <c r="F205" s="43"/>
      <c r="G205" s="43"/>
      <c r="H205" s="4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">
      <c r="A206" s="42"/>
      <c r="B206" s="42"/>
      <c r="C206" s="42"/>
      <c r="D206" s="43"/>
      <c r="E206" s="44"/>
      <c r="F206" s="43"/>
      <c r="G206" s="43"/>
      <c r="H206" s="4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">
      <c r="A207" s="42"/>
      <c r="B207" s="42"/>
      <c r="C207" s="42"/>
      <c r="D207" s="43"/>
      <c r="E207" s="44"/>
      <c r="F207" s="43"/>
      <c r="G207" s="43"/>
      <c r="H207" s="4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">
      <c r="A208" s="42"/>
      <c r="B208" s="42"/>
      <c r="C208" s="42"/>
      <c r="D208" s="43"/>
      <c r="E208" s="44"/>
      <c r="F208" s="43"/>
      <c r="G208" s="43"/>
      <c r="H208" s="4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">
      <c r="A209" s="42"/>
      <c r="B209" s="42"/>
      <c r="C209" s="42"/>
      <c r="D209" s="43"/>
      <c r="E209" s="44"/>
      <c r="F209" s="43"/>
      <c r="G209" s="43"/>
      <c r="H209" s="4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">
      <c r="A210" s="42"/>
      <c r="B210" s="42"/>
      <c r="C210" s="42"/>
      <c r="D210" s="43"/>
      <c r="E210" s="44"/>
      <c r="F210" s="43"/>
      <c r="G210" s="43"/>
      <c r="H210" s="4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">
      <c r="A211" s="42"/>
      <c r="B211" s="42"/>
      <c r="C211" s="42"/>
      <c r="D211" s="43"/>
      <c r="E211" s="44"/>
      <c r="F211" s="43"/>
      <c r="G211" s="43"/>
      <c r="H211" s="4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">
      <c r="A212" s="42"/>
      <c r="B212" s="42"/>
      <c r="C212" s="42"/>
      <c r="D212" s="43"/>
      <c r="E212" s="44"/>
      <c r="F212" s="43"/>
      <c r="G212" s="43"/>
      <c r="H212" s="4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">
      <c r="A213" s="42"/>
      <c r="B213" s="42"/>
      <c r="C213" s="42"/>
      <c r="D213" s="43"/>
      <c r="E213" s="44"/>
      <c r="F213" s="43"/>
      <c r="G213" s="43"/>
      <c r="H213" s="4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">
      <c r="A214" s="42"/>
      <c r="B214" s="42"/>
      <c r="C214" s="42"/>
      <c r="D214" s="43"/>
      <c r="E214" s="44"/>
      <c r="F214" s="43"/>
      <c r="G214" s="43"/>
      <c r="H214" s="4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">
      <c r="A215" s="42"/>
      <c r="B215" s="42"/>
      <c r="C215" s="42"/>
      <c r="D215" s="43"/>
      <c r="E215" s="44"/>
      <c r="F215" s="43"/>
      <c r="G215" s="43"/>
      <c r="H215" s="4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">
      <c r="A216" s="42"/>
      <c r="B216" s="42"/>
      <c r="C216" s="42"/>
      <c r="D216" s="43"/>
      <c r="E216" s="44"/>
      <c r="F216" s="43"/>
      <c r="G216" s="43"/>
      <c r="H216" s="4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">
      <c r="A217" s="42"/>
      <c r="B217" s="42"/>
      <c r="C217" s="42"/>
      <c r="D217" s="43"/>
      <c r="E217" s="44"/>
      <c r="F217" s="43"/>
      <c r="G217" s="43"/>
      <c r="H217" s="4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">
      <c r="A218" s="42"/>
      <c r="B218" s="42"/>
      <c r="C218" s="42"/>
      <c r="D218" s="43"/>
      <c r="E218" s="44"/>
      <c r="F218" s="43"/>
      <c r="G218" s="43"/>
      <c r="H218" s="4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">
      <c r="A219" s="42"/>
      <c r="B219" s="42"/>
      <c r="C219" s="42"/>
      <c r="D219" s="43"/>
      <c r="E219" s="44"/>
      <c r="F219" s="43"/>
      <c r="G219" s="43"/>
      <c r="H219" s="4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">
      <c r="A220" s="42"/>
      <c r="B220" s="42"/>
      <c r="C220" s="42"/>
      <c r="D220" s="43"/>
      <c r="E220" s="44"/>
      <c r="F220" s="43"/>
      <c r="G220" s="43"/>
      <c r="H220" s="4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A7:D7"/>
    <mergeCell ref="E7:H7"/>
    <mergeCell ref="A4:D4"/>
    <mergeCell ref="E4:H4"/>
    <mergeCell ref="A5:D5"/>
    <mergeCell ref="E5:H5"/>
    <mergeCell ref="A6:D6"/>
  </mergeCell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25" defaultRowHeight="15" customHeight="1" x14ac:dyDescent="0.15"/>
  <cols>
    <col min="1" max="1" width="15.375" customWidth="1"/>
    <col min="2" max="2" width="26.625" customWidth="1"/>
    <col min="3" max="3" width="12.125" customWidth="1"/>
    <col min="4" max="4" width="9.625" customWidth="1"/>
    <col min="5" max="5" width="9.75" customWidth="1"/>
    <col min="6" max="8" width="5.25" customWidth="1"/>
    <col min="9" max="9" width="21" customWidth="1"/>
    <col min="10" max="26" width="8" customWidth="1"/>
  </cols>
  <sheetData>
    <row r="1" spans="1:26" ht="12.7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5">
      <c r="A2" s="270" t="s">
        <v>88</v>
      </c>
      <c r="B2" s="271"/>
      <c r="C2" s="271"/>
      <c r="D2" s="271"/>
      <c r="E2" s="271"/>
      <c r="F2" s="271"/>
      <c r="G2" s="271"/>
      <c r="H2" s="271"/>
      <c r="I2" s="271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 x14ac:dyDescent="0.2">
      <c r="A3" s="78"/>
      <c r="B3" s="18"/>
      <c r="C3" s="18"/>
      <c r="D3" s="18"/>
      <c r="E3" s="18"/>
      <c r="F3" s="18"/>
      <c r="G3" s="18"/>
      <c r="H3" s="18"/>
      <c r="I3" s="7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 x14ac:dyDescent="0.2">
      <c r="A4" s="80" t="s">
        <v>46</v>
      </c>
      <c r="B4" s="263" t="str">
        <f>Cover!B4</f>
        <v>&lt;Facilities Management System&gt;</v>
      </c>
      <c r="C4" s="252"/>
      <c r="D4" s="267" t="s">
        <v>48</v>
      </c>
      <c r="E4" s="252"/>
      <c r="F4" s="272" t="s">
        <v>49</v>
      </c>
      <c r="G4" s="251"/>
      <c r="H4" s="251"/>
      <c r="I4" s="252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 x14ac:dyDescent="0.2">
      <c r="A5" s="80" t="s">
        <v>50</v>
      </c>
      <c r="B5" s="263" t="str">
        <f>Cover!B5</f>
        <v>&lt;FMS&gt;</v>
      </c>
      <c r="C5" s="252"/>
      <c r="D5" s="267" t="s">
        <v>52</v>
      </c>
      <c r="E5" s="252"/>
      <c r="F5" s="272" t="s">
        <v>89</v>
      </c>
      <c r="G5" s="251"/>
      <c r="H5" s="251"/>
      <c r="I5" s="25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2">
      <c r="A6" s="81" t="s">
        <v>54</v>
      </c>
      <c r="B6" s="263" t="str">
        <f>B5&amp;"_"&amp;"Test Report"&amp;"_"&amp;"v1.0"</f>
        <v>&lt;FMS&gt;_Test Report_v1.0</v>
      </c>
      <c r="C6" s="252"/>
      <c r="D6" s="267" t="s">
        <v>55</v>
      </c>
      <c r="E6" s="252"/>
      <c r="F6" s="268">
        <v>45590</v>
      </c>
      <c r="G6" s="251"/>
      <c r="H6" s="251"/>
      <c r="I6" s="252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2">
      <c r="A7" s="81" t="s">
        <v>90</v>
      </c>
      <c r="B7" s="269"/>
      <c r="C7" s="251"/>
      <c r="D7" s="251"/>
      <c r="E7" s="251"/>
      <c r="F7" s="251"/>
      <c r="G7" s="251"/>
      <c r="H7" s="251"/>
      <c r="I7" s="25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 x14ac:dyDescent="0.2">
      <c r="A8" s="82"/>
      <c r="B8" s="83"/>
      <c r="C8" s="18"/>
      <c r="D8" s="18"/>
      <c r="E8" s="18"/>
      <c r="F8" s="18"/>
      <c r="G8" s="18"/>
      <c r="H8" s="18"/>
      <c r="I8" s="79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">
      <c r="A9" s="82"/>
      <c r="B9" s="83"/>
      <c r="C9" s="18"/>
      <c r="D9" s="18"/>
      <c r="E9" s="18"/>
      <c r="F9" s="18"/>
      <c r="G9" s="18"/>
      <c r="H9" s="18"/>
      <c r="I9" s="7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2">
      <c r="A11" s="84" t="s">
        <v>74</v>
      </c>
      <c r="B11" s="85" t="s">
        <v>91</v>
      </c>
      <c r="C11" s="86" t="s">
        <v>92</v>
      </c>
      <c r="D11" s="85" t="s">
        <v>93</v>
      </c>
      <c r="E11" s="87" t="s">
        <v>94</v>
      </c>
      <c r="F11" s="88" t="s">
        <v>95</v>
      </c>
      <c r="G11" s="87" t="s">
        <v>66</v>
      </c>
      <c r="H11" s="87" t="s">
        <v>96</v>
      </c>
      <c r="I11" s="89" t="s">
        <v>97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">
      <c r="A12" s="90">
        <v>1</v>
      </c>
      <c r="B12" s="91" t="s">
        <v>82</v>
      </c>
      <c r="C12" s="92">
        <f>Login!A7</f>
        <v>3</v>
      </c>
      <c r="D12" s="92">
        <f>Login!C7</f>
        <v>0</v>
      </c>
      <c r="E12" s="93">
        <f>Login!F7</f>
        <v>0</v>
      </c>
      <c r="F12" s="92">
        <f>Login!L7</f>
        <v>1</v>
      </c>
      <c r="G12" s="94">
        <f>Login!M7</f>
        <v>2</v>
      </c>
      <c r="H12" s="92">
        <f>Login!N7</f>
        <v>0</v>
      </c>
      <c r="I12" s="92">
        <f>Login!O7</f>
        <v>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">
      <c r="A13" s="90">
        <v>2</v>
      </c>
      <c r="B13" s="91" t="s">
        <v>84</v>
      </c>
      <c r="C13" s="92">
        <f>'Update Profile'!A7</f>
        <v>9</v>
      </c>
      <c r="D13" s="92">
        <f>'Update Profile'!C7</f>
        <v>1</v>
      </c>
      <c r="E13" s="93">
        <f>'Update Profile'!F7</f>
        <v>0</v>
      </c>
      <c r="F13" s="92">
        <f>'Update Profile'!L7</f>
        <v>2</v>
      </c>
      <c r="G13" s="94">
        <f>'Update Profile'!M7</f>
        <v>2</v>
      </c>
      <c r="H13" s="92">
        <f>'Update Profile'!N7</f>
        <v>6</v>
      </c>
      <c r="I13" s="92">
        <f>'Update Profile'!O7</f>
        <v>10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">
      <c r="A14" s="90">
        <v>3</v>
      </c>
      <c r="B14" s="91" t="s">
        <v>98</v>
      </c>
      <c r="C14" s="92">
        <f>'Create Facility'!A7</f>
        <v>6</v>
      </c>
      <c r="D14" s="92">
        <f>'Create Facility'!C7</f>
        <v>2</v>
      </c>
      <c r="E14" s="93">
        <f>'Create Facility'!F7</f>
        <v>0</v>
      </c>
      <c r="F14" s="92">
        <f>'Create Facility'!L7</f>
        <v>2</v>
      </c>
      <c r="G14" s="94">
        <f>'Create Facility'!M7</f>
        <v>6</v>
      </c>
      <c r="H14" s="92">
        <f>'Create Facility'!N7</f>
        <v>0</v>
      </c>
      <c r="I14" s="92">
        <f>'Create Facility'!O7</f>
        <v>8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">
      <c r="A15" s="90">
        <v>4</v>
      </c>
      <c r="B15" s="91" t="s">
        <v>87</v>
      </c>
      <c r="C15" s="92">
        <v>7</v>
      </c>
      <c r="D15" s="92">
        <v>1</v>
      </c>
      <c r="E15" s="93">
        <v>0</v>
      </c>
      <c r="F15" s="92">
        <v>1</v>
      </c>
      <c r="G15" s="94">
        <v>4</v>
      </c>
      <c r="H15" s="92">
        <v>3</v>
      </c>
      <c r="I15" s="92">
        <v>8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">
      <c r="A16" s="90"/>
      <c r="B16" s="95"/>
      <c r="C16" s="92"/>
      <c r="D16" s="92"/>
      <c r="E16" s="93"/>
      <c r="F16" s="92"/>
      <c r="G16" s="94"/>
      <c r="H16" s="92"/>
      <c r="I16" s="92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">
      <c r="A17" s="96"/>
      <c r="B17" s="97" t="s">
        <v>99</v>
      </c>
      <c r="C17" s="98">
        <f t="shared" ref="C17:I17" si="0">SUM(C10:C16)</f>
        <v>25</v>
      </c>
      <c r="D17" s="98">
        <f t="shared" si="0"/>
        <v>4</v>
      </c>
      <c r="E17" s="98">
        <f t="shared" si="0"/>
        <v>0</v>
      </c>
      <c r="F17" s="99">
        <f t="shared" si="0"/>
        <v>6</v>
      </c>
      <c r="G17" s="98">
        <f t="shared" si="0"/>
        <v>14</v>
      </c>
      <c r="H17" s="98">
        <f t="shared" si="0"/>
        <v>9</v>
      </c>
      <c r="I17" s="98">
        <f t="shared" si="0"/>
        <v>29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">
      <c r="A18" s="100"/>
      <c r="B18" s="18"/>
      <c r="C18" s="101"/>
      <c r="D18" s="102"/>
      <c r="E18" s="102"/>
      <c r="F18" s="102"/>
      <c r="G18" s="102"/>
      <c r="H18" s="102"/>
      <c r="I18" s="10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">
      <c r="A19" s="18"/>
      <c r="B19" s="103" t="s">
        <v>100</v>
      </c>
      <c r="C19" s="18"/>
      <c r="D19" s="104">
        <f>(C17+D17)*100/(I17)</f>
        <v>100</v>
      </c>
      <c r="E19" s="18" t="s">
        <v>101</v>
      </c>
      <c r="F19" s="18"/>
      <c r="G19" s="18"/>
      <c r="H19" s="18"/>
      <c r="I19" s="105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">
      <c r="A20" s="18"/>
      <c r="B20" s="103" t="s">
        <v>102</v>
      </c>
      <c r="C20" s="18"/>
      <c r="D20" s="104">
        <f>C17*100/(I17)</f>
        <v>86.206896551724142</v>
      </c>
      <c r="E20" s="18" t="s">
        <v>101</v>
      </c>
      <c r="F20" s="18"/>
      <c r="G20" s="18"/>
      <c r="H20" s="18"/>
      <c r="I20" s="105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">
      <c r="A21" s="18"/>
      <c r="B21" s="103" t="s">
        <v>103</v>
      </c>
      <c r="C21" s="18"/>
      <c r="D21" s="104">
        <f>F17*100/I17</f>
        <v>20.689655172413794</v>
      </c>
      <c r="E21" s="18" t="s">
        <v>101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">
      <c r="A22" s="18"/>
      <c r="B22" s="103" t="s">
        <v>104</v>
      </c>
      <c r="C22" s="18"/>
      <c r="D22" s="104">
        <f>G17*100/I17</f>
        <v>48.275862068965516</v>
      </c>
      <c r="E22" s="18" t="s">
        <v>101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">
      <c r="A23" s="18"/>
      <c r="B23" s="103" t="s">
        <v>105</v>
      </c>
      <c r="C23" s="18"/>
      <c r="D23" s="104">
        <f>H17*100/I17</f>
        <v>31.03448275862069</v>
      </c>
      <c r="E23" s="18" t="s">
        <v>101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conditionalFormatting sqref="B1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1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75" customWidth="1"/>
    <col min="4" max="4" width="11.375" customWidth="1"/>
    <col min="5" max="5" width="11.75" hidden="1" customWidth="1"/>
    <col min="6" max="6" width="5.5" customWidth="1"/>
    <col min="7" max="7" width="4.875" customWidth="1"/>
    <col min="8" max="8" width="5.625" customWidth="1"/>
    <col min="9" max="9" width="6.25" customWidth="1"/>
    <col min="10" max="10" width="7.375" customWidth="1"/>
    <col min="11" max="11" width="6.625" customWidth="1"/>
    <col min="12" max="13" width="7.875" customWidth="1"/>
    <col min="14" max="14" width="5.5" customWidth="1"/>
    <col min="15" max="21" width="2.875" customWidth="1"/>
    <col min="22" max="23" width="9" customWidth="1"/>
    <col min="24" max="26" width="8" customWidth="1"/>
  </cols>
  <sheetData>
    <row r="1" spans="1:26" ht="13.5" customHeight="1" x14ac:dyDescent="0.15">
      <c r="A1" s="106"/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13.5" customHeight="1" x14ac:dyDescent="0.15">
      <c r="A2" s="273" t="s">
        <v>106</v>
      </c>
      <c r="B2" s="274"/>
      <c r="C2" s="275" t="str">
        <f>FunctionList!E11</f>
        <v>Login</v>
      </c>
      <c r="D2" s="276"/>
      <c r="E2" s="277"/>
      <c r="F2" s="278" t="s">
        <v>77</v>
      </c>
      <c r="G2" s="279"/>
      <c r="H2" s="279"/>
      <c r="I2" s="279"/>
      <c r="J2" s="279"/>
      <c r="K2" s="280"/>
      <c r="L2" s="281" t="str">
        <f>FunctionList!D11</f>
        <v>Login</v>
      </c>
      <c r="M2" s="276"/>
      <c r="N2" s="276"/>
      <c r="O2" s="276"/>
      <c r="P2" s="276"/>
      <c r="Q2" s="276"/>
      <c r="R2" s="276"/>
      <c r="S2" s="276"/>
      <c r="T2" s="282"/>
      <c r="U2" s="107"/>
      <c r="V2" s="108"/>
      <c r="W2" s="107"/>
      <c r="X2" s="107"/>
      <c r="Y2" s="107"/>
      <c r="Z2" s="107"/>
    </row>
    <row r="3" spans="1:26" ht="13.5" customHeight="1" x14ac:dyDescent="0.15">
      <c r="A3" s="289" t="s">
        <v>107</v>
      </c>
      <c r="B3" s="252"/>
      <c r="C3" s="283" t="s">
        <v>49</v>
      </c>
      <c r="D3" s="284"/>
      <c r="E3" s="285"/>
      <c r="F3" s="286" t="s">
        <v>108</v>
      </c>
      <c r="G3" s="251"/>
      <c r="H3" s="251"/>
      <c r="I3" s="251"/>
      <c r="J3" s="251"/>
      <c r="K3" s="252"/>
      <c r="L3" s="287" t="s">
        <v>49</v>
      </c>
      <c r="M3" s="284"/>
      <c r="N3" s="288"/>
      <c r="O3" s="109"/>
      <c r="P3" s="109"/>
      <c r="Q3" s="109"/>
      <c r="R3" s="109"/>
      <c r="S3" s="109"/>
      <c r="T3" s="110"/>
      <c r="U3" s="107"/>
      <c r="V3" s="107"/>
      <c r="W3" s="107"/>
      <c r="X3" s="107"/>
      <c r="Y3" s="107"/>
      <c r="Z3" s="107"/>
    </row>
    <row r="4" spans="1:26" ht="13.5" customHeight="1" x14ac:dyDescent="0.15">
      <c r="A4" s="289" t="s">
        <v>109</v>
      </c>
      <c r="B4" s="252"/>
      <c r="C4" s="290">
        <v>100</v>
      </c>
      <c r="D4" s="291"/>
      <c r="E4" s="111"/>
      <c r="F4" s="286" t="s">
        <v>110</v>
      </c>
      <c r="G4" s="251"/>
      <c r="H4" s="251"/>
      <c r="I4" s="251"/>
      <c r="J4" s="251"/>
      <c r="K4" s="252"/>
      <c r="L4" s="292">
        <f>IF(FunctionList!E6&lt;&gt;"N/A",SUM(C4*FunctionList!E6/1000,-O7),"N/A")</f>
        <v>-0.10000000000000009</v>
      </c>
      <c r="M4" s="251"/>
      <c r="N4" s="251"/>
      <c r="O4" s="251"/>
      <c r="P4" s="251"/>
      <c r="Q4" s="251"/>
      <c r="R4" s="251"/>
      <c r="S4" s="251"/>
      <c r="T4" s="293"/>
      <c r="U4" s="107"/>
      <c r="V4" s="108"/>
      <c r="W4" s="107"/>
      <c r="X4" s="107"/>
      <c r="Y4" s="107"/>
      <c r="Z4" s="107"/>
    </row>
    <row r="5" spans="1:26" ht="13.5" customHeight="1" x14ac:dyDescent="0.15">
      <c r="A5" s="289" t="s">
        <v>111</v>
      </c>
      <c r="B5" s="252"/>
      <c r="C5" s="294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93"/>
      <c r="U5" s="107"/>
      <c r="V5" s="107"/>
      <c r="W5" s="107"/>
      <c r="X5" s="107"/>
      <c r="Y5" s="107"/>
      <c r="Z5" s="107"/>
    </row>
    <row r="6" spans="1:26" ht="13.5" customHeight="1" x14ac:dyDescent="0.15">
      <c r="A6" s="308" t="s">
        <v>92</v>
      </c>
      <c r="B6" s="252"/>
      <c r="C6" s="295" t="s">
        <v>93</v>
      </c>
      <c r="D6" s="251"/>
      <c r="E6" s="252"/>
      <c r="F6" s="295" t="s">
        <v>94</v>
      </c>
      <c r="G6" s="251"/>
      <c r="H6" s="251"/>
      <c r="I6" s="251"/>
      <c r="J6" s="251"/>
      <c r="K6" s="252"/>
      <c r="L6" s="309" t="s">
        <v>112</v>
      </c>
      <c r="M6" s="251"/>
      <c r="N6" s="291"/>
      <c r="O6" s="295" t="s">
        <v>97</v>
      </c>
      <c r="P6" s="251"/>
      <c r="Q6" s="251"/>
      <c r="R6" s="251"/>
      <c r="S6" s="251"/>
      <c r="T6" s="293"/>
      <c r="U6" s="107"/>
      <c r="V6" s="108"/>
      <c r="W6" s="107"/>
      <c r="X6" s="107"/>
      <c r="Y6" s="107"/>
      <c r="Z6" s="107"/>
    </row>
    <row r="7" spans="1:26" ht="13.5" customHeight="1" x14ac:dyDescent="0.15">
      <c r="A7" s="310">
        <f>COUNTIF(F31:HQ31,"P")</f>
        <v>3</v>
      </c>
      <c r="B7" s="311"/>
      <c r="C7" s="296">
        <f>COUNTIF(F31:HQ31,"F")</f>
        <v>0</v>
      </c>
      <c r="D7" s="297"/>
      <c r="E7" s="311"/>
      <c r="F7" s="296">
        <f>SUM(O7,-A7,-C7)</f>
        <v>0</v>
      </c>
      <c r="G7" s="297"/>
      <c r="H7" s="297"/>
      <c r="I7" s="297"/>
      <c r="J7" s="297"/>
      <c r="K7" s="311"/>
      <c r="L7" s="112">
        <f>COUNTIF(E30:HQ30,"N")</f>
        <v>1</v>
      </c>
      <c r="M7" s="112">
        <f>COUNTIF(E30:HQ30,"A")</f>
        <v>2</v>
      </c>
      <c r="N7" s="112">
        <f>COUNTIF(E30:HQ30,"B")</f>
        <v>0</v>
      </c>
      <c r="O7" s="296">
        <f>COUNTA(E9:HT9)</f>
        <v>3</v>
      </c>
      <c r="P7" s="297"/>
      <c r="Q7" s="297"/>
      <c r="R7" s="297"/>
      <c r="S7" s="297"/>
      <c r="T7" s="298"/>
      <c r="U7" s="113"/>
      <c r="V7" s="107"/>
      <c r="W7" s="107"/>
      <c r="X7" s="107"/>
      <c r="Y7" s="107"/>
      <c r="Z7" s="107"/>
    </row>
    <row r="8" spans="1:26" ht="11.25" customHeight="1" x14ac:dyDescent="0.15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47.25" customHeight="1" x14ac:dyDescent="0.15">
      <c r="A9" s="114"/>
      <c r="B9" s="115"/>
      <c r="C9" s="115"/>
      <c r="D9" s="115"/>
      <c r="E9" s="115"/>
      <c r="F9" s="116" t="s">
        <v>113</v>
      </c>
      <c r="G9" s="117" t="s">
        <v>114</v>
      </c>
      <c r="H9" s="118" t="s">
        <v>115</v>
      </c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3.5" customHeight="1" x14ac:dyDescent="0.15">
      <c r="A10" s="119" t="s">
        <v>116</v>
      </c>
      <c r="B10" s="120" t="s">
        <v>117</v>
      </c>
      <c r="C10" s="121"/>
      <c r="D10" s="122"/>
      <c r="E10" s="123"/>
      <c r="F10" s="124"/>
      <c r="G10" s="124"/>
      <c r="H10" s="124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3.5" customHeight="1" x14ac:dyDescent="0.2">
      <c r="A11" s="125"/>
      <c r="B11" s="126"/>
      <c r="C11" s="127"/>
      <c r="D11" s="128" t="s">
        <v>118</v>
      </c>
      <c r="E11" s="129"/>
      <c r="F11" s="130" t="s">
        <v>119</v>
      </c>
      <c r="G11" s="130" t="s">
        <v>119</v>
      </c>
      <c r="H11" s="130" t="s">
        <v>119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3.5" customHeight="1" x14ac:dyDescent="0.2">
      <c r="A12" s="125"/>
      <c r="B12" s="126"/>
      <c r="C12" s="127"/>
      <c r="D12" s="128" t="s">
        <v>120</v>
      </c>
      <c r="E12" s="129"/>
      <c r="F12" s="130" t="s">
        <v>119</v>
      </c>
      <c r="G12" s="130" t="s">
        <v>119</v>
      </c>
      <c r="H12" s="130" t="s">
        <v>119</v>
      </c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3.5" customHeight="1" x14ac:dyDescent="0.15">
      <c r="A13" s="125"/>
      <c r="B13" s="126"/>
      <c r="C13" s="127"/>
      <c r="D13" s="131"/>
      <c r="E13" s="132"/>
      <c r="F13" s="133"/>
      <c r="G13" s="133"/>
      <c r="H13" s="133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3.5" customHeight="1" x14ac:dyDescent="0.15">
      <c r="A14" s="125"/>
      <c r="B14" s="134" t="s">
        <v>121</v>
      </c>
      <c r="C14" s="127"/>
      <c r="D14" s="131"/>
      <c r="E14" s="129"/>
      <c r="F14" s="133"/>
      <c r="G14" s="133"/>
      <c r="H14" s="133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3.5" customHeight="1" x14ac:dyDescent="0.2">
      <c r="A15" s="125"/>
      <c r="B15" s="126"/>
      <c r="C15" s="127"/>
      <c r="D15" s="128" t="s">
        <v>122</v>
      </c>
      <c r="E15" s="129"/>
      <c r="F15" s="130" t="s">
        <v>119</v>
      </c>
      <c r="G15" s="133"/>
      <c r="H15" s="130" t="s">
        <v>119</v>
      </c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3.5" customHeight="1" x14ac:dyDescent="0.2">
      <c r="A16" s="125"/>
      <c r="B16" s="126"/>
      <c r="C16" s="127"/>
      <c r="D16" s="128" t="s">
        <v>123</v>
      </c>
      <c r="E16" s="129"/>
      <c r="F16" s="133"/>
      <c r="G16" s="130" t="s">
        <v>119</v>
      </c>
      <c r="H16" s="130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3.5" customHeight="1" x14ac:dyDescent="0.15">
      <c r="A17" s="125"/>
      <c r="B17" s="135" t="s">
        <v>124</v>
      </c>
      <c r="C17" s="127"/>
      <c r="D17" s="131"/>
      <c r="E17" s="129"/>
      <c r="F17" s="133"/>
      <c r="G17" s="133"/>
      <c r="H17" s="133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3.5" customHeight="1" x14ac:dyDescent="0.2">
      <c r="A18" s="125"/>
      <c r="B18" s="136"/>
      <c r="C18" s="137"/>
      <c r="D18" s="138">
        <v>0</v>
      </c>
      <c r="E18" s="139"/>
      <c r="G18" s="140"/>
      <c r="H18" s="130" t="s">
        <v>119</v>
      </c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3.5" customHeight="1" x14ac:dyDescent="0.2">
      <c r="A19" s="125"/>
      <c r="B19" s="136"/>
      <c r="C19" s="137"/>
      <c r="D19" s="138">
        <v>1</v>
      </c>
      <c r="E19" s="139"/>
      <c r="F19" s="130" t="s">
        <v>119</v>
      </c>
      <c r="G19" s="140"/>
      <c r="H19" s="141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3.5" customHeight="1" x14ac:dyDescent="0.15">
      <c r="A20" s="125"/>
      <c r="B20" s="142"/>
      <c r="C20" s="143"/>
      <c r="D20" s="144"/>
      <c r="E20" s="145"/>
      <c r="F20" s="146"/>
      <c r="G20" s="146"/>
      <c r="H20" s="146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3.5" customHeight="1" x14ac:dyDescent="0.15">
      <c r="A21" s="147" t="s">
        <v>125</v>
      </c>
      <c r="B21" s="148" t="s">
        <v>126</v>
      </c>
      <c r="C21" s="109"/>
      <c r="D21" s="149"/>
      <c r="E21" s="150"/>
      <c r="F21" s="124"/>
      <c r="G21" s="124"/>
      <c r="H21" s="124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3.5" customHeight="1" x14ac:dyDescent="0.2">
      <c r="A22" s="151"/>
      <c r="B22" s="152"/>
      <c r="C22" s="111"/>
      <c r="D22" s="153" t="s">
        <v>127</v>
      </c>
      <c r="E22" s="154"/>
      <c r="F22" s="130" t="s">
        <v>119</v>
      </c>
      <c r="G22" s="133"/>
      <c r="H22" s="133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3.5" customHeight="1" x14ac:dyDescent="0.2">
      <c r="A23" s="151"/>
      <c r="B23" s="152"/>
      <c r="C23" s="111"/>
      <c r="D23" s="153" t="s">
        <v>128</v>
      </c>
      <c r="E23" s="154"/>
      <c r="F23" s="133"/>
      <c r="G23" s="130" t="s">
        <v>119</v>
      </c>
      <c r="H23" s="130" t="s">
        <v>119</v>
      </c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3.5" customHeight="1" x14ac:dyDescent="0.15">
      <c r="A24" s="151"/>
      <c r="B24" s="155" t="s">
        <v>129</v>
      </c>
      <c r="C24" s="111"/>
      <c r="D24" s="156"/>
      <c r="E24" s="154"/>
      <c r="F24" s="133"/>
      <c r="G24" s="133"/>
      <c r="H24" s="133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3.5" customHeight="1" x14ac:dyDescent="0.15">
      <c r="A25" s="151"/>
      <c r="B25" s="152"/>
      <c r="C25" s="111"/>
      <c r="D25" s="156"/>
      <c r="E25" s="154"/>
      <c r="F25" s="133"/>
      <c r="G25" s="133"/>
      <c r="H25" s="133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3.5" customHeight="1" x14ac:dyDescent="0.15">
      <c r="A26" s="151"/>
      <c r="B26" s="155" t="s">
        <v>130</v>
      </c>
      <c r="C26" s="111"/>
      <c r="D26" s="156"/>
      <c r="E26" s="154"/>
      <c r="F26" s="133"/>
      <c r="G26" s="133"/>
      <c r="H26" s="133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3.5" customHeight="1" x14ac:dyDescent="0.2">
      <c r="A27" s="151"/>
      <c r="B27" s="152"/>
      <c r="C27" s="111"/>
      <c r="D27" s="153" t="s">
        <v>131</v>
      </c>
      <c r="E27" s="154"/>
      <c r="F27" s="130" t="s">
        <v>119</v>
      </c>
      <c r="G27" s="133"/>
      <c r="H27" s="133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3.5" customHeight="1" x14ac:dyDescent="0.2">
      <c r="A28" s="151"/>
      <c r="B28" s="299" t="s">
        <v>132</v>
      </c>
      <c r="C28" s="251"/>
      <c r="D28" s="252"/>
      <c r="E28" s="154"/>
      <c r="F28" s="133"/>
      <c r="G28" s="130" t="s">
        <v>119</v>
      </c>
      <c r="H28" s="141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3.5" customHeight="1" x14ac:dyDescent="0.2">
      <c r="A29" s="157"/>
      <c r="B29" s="158"/>
      <c r="C29" s="159"/>
      <c r="D29" s="160" t="s">
        <v>133</v>
      </c>
      <c r="E29" s="161"/>
      <c r="F29" s="162"/>
      <c r="G29" s="163"/>
      <c r="H29" s="164" t="s">
        <v>119</v>
      </c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3.5" customHeight="1" x14ac:dyDescent="0.15">
      <c r="A30" s="147" t="s">
        <v>134</v>
      </c>
      <c r="B30" s="300" t="s">
        <v>135</v>
      </c>
      <c r="C30" s="301"/>
      <c r="D30" s="302"/>
      <c r="E30" s="165"/>
      <c r="F30" s="166" t="s">
        <v>95</v>
      </c>
      <c r="G30" s="166" t="s">
        <v>66</v>
      </c>
      <c r="H30" s="166" t="s">
        <v>66</v>
      </c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20.25" customHeight="1" x14ac:dyDescent="0.15">
      <c r="A31" s="151"/>
      <c r="B31" s="303" t="s">
        <v>136</v>
      </c>
      <c r="C31" s="251"/>
      <c r="D31" s="252"/>
      <c r="E31" s="133"/>
      <c r="F31" s="167" t="s">
        <v>137</v>
      </c>
      <c r="G31" s="167" t="s">
        <v>137</v>
      </c>
      <c r="H31" s="167" t="s">
        <v>137</v>
      </c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52.5" customHeight="1" x14ac:dyDescent="0.15">
      <c r="A32" s="151"/>
      <c r="B32" s="304" t="s">
        <v>138</v>
      </c>
      <c r="C32" s="251"/>
      <c r="D32" s="252"/>
      <c r="E32" s="133"/>
      <c r="F32" s="168">
        <v>45590</v>
      </c>
      <c r="G32" s="168">
        <v>45590</v>
      </c>
      <c r="H32" s="168">
        <v>45590</v>
      </c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13.5" customHeight="1" x14ac:dyDescent="0.15">
      <c r="A33" s="169"/>
      <c r="B33" s="305" t="s">
        <v>139</v>
      </c>
      <c r="C33" s="306"/>
      <c r="D33" s="307"/>
      <c r="E33" s="146"/>
      <c r="F33" s="146"/>
      <c r="G33" s="146"/>
      <c r="H33" s="146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3.5" customHeight="1" x14ac:dyDescent="0.15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3.5" customHeight="1" x14ac:dyDescent="0.1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3.5" customHeight="1" x14ac:dyDescent="0.15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3.5" customHeight="1" x14ac:dyDescent="0.15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3.5" customHeight="1" x14ac:dyDescent="0.15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3.5" customHeight="1" x14ac:dyDescent="0.15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3.5" customHeight="1" x14ac:dyDescent="0.15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13.5" customHeight="1" x14ac:dyDescent="0.15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3.5" customHeight="1" x14ac:dyDescent="0.1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3.5" customHeight="1" x14ac:dyDescent="0.15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3.5" customHeight="1" x14ac:dyDescent="0.1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3.5" customHeight="1" x14ac:dyDescent="0.1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3.5" customHeight="1" x14ac:dyDescent="0.15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3.5" customHeight="1" x14ac:dyDescent="0.15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3.5" customHeight="1" x14ac:dyDescent="0.15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3.5" customHeight="1" x14ac:dyDescent="0.15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3.5" customHeight="1" x14ac:dyDescent="0.15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3.5" customHeight="1" x14ac:dyDescent="0.15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3.5" customHeight="1" x14ac:dyDescent="0.15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3.5" customHeight="1" x14ac:dyDescent="0.15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3.5" customHeight="1" x14ac:dyDescent="0.15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3.5" customHeight="1" x14ac:dyDescent="0.1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3.5" customHeight="1" x14ac:dyDescent="0.15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3.5" customHeight="1" x14ac:dyDescent="0.15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3.5" customHeight="1" x14ac:dyDescent="0.15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13.5" customHeight="1" x14ac:dyDescent="0.15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3.5" customHeight="1" x14ac:dyDescent="0.15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3.5" customHeight="1" x14ac:dyDescent="0.15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3.5" customHeight="1" x14ac:dyDescent="0.15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3.5" customHeight="1" x14ac:dyDescent="0.15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13.5" customHeight="1" x14ac:dyDescent="0.15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3.5" customHeight="1" x14ac:dyDescent="0.1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3.5" customHeight="1" x14ac:dyDescent="0.15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3.5" customHeight="1" x14ac:dyDescent="0.15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3.5" customHeight="1" x14ac:dyDescent="0.15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3.5" customHeight="1" x14ac:dyDescent="0.15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3.5" customHeight="1" x14ac:dyDescent="0.15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13.5" customHeight="1" x14ac:dyDescent="0.15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3.5" customHeight="1" x14ac:dyDescent="0.15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13.5" customHeight="1" x14ac:dyDescent="0.15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3.5" customHeight="1" x14ac:dyDescent="0.15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3.5" customHeight="1" x14ac:dyDescent="0.1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3.5" customHeight="1" x14ac:dyDescent="0.1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3.5" customHeight="1" x14ac:dyDescent="0.15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3.5" customHeight="1" x14ac:dyDescent="0.15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3.5" customHeight="1" x14ac:dyDescent="0.15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3.5" customHeight="1" x14ac:dyDescent="0.15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3.5" customHeight="1" x14ac:dyDescent="0.15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3.5" customHeight="1" x14ac:dyDescent="0.15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3.5" customHeight="1" x14ac:dyDescent="0.15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3.5" customHeight="1" x14ac:dyDescent="0.15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3.5" customHeight="1" x14ac:dyDescent="0.1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13.5" customHeight="1" x14ac:dyDescent="0.15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3.5" customHeight="1" x14ac:dyDescent="0.15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3.5" customHeight="1" x14ac:dyDescent="0.15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3.5" customHeight="1" x14ac:dyDescent="0.15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3.5" customHeight="1" x14ac:dyDescent="0.15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3.5" customHeight="1" x14ac:dyDescent="0.15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3.5" customHeight="1" x14ac:dyDescent="0.15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3.5" customHeight="1" x14ac:dyDescent="0.15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3.5" customHeight="1" x14ac:dyDescent="0.15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3.5" customHeight="1" x14ac:dyDescent="0.1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3.5" customHeight="1" x14ac:dyDescent="0.15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3.5" customHeight="1" x14ac:dyDescent="0.15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3.5" customHeight="1" x14ac:dyDescent="0.15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3.5" customHeight="1" x14ac:dyDescent="0.15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3.5" customHeight="1" x14ac:dyDescent="0.15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3.5" customHeight="1" x14ac:dyDescent="0.15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3.5" customHeight="1" x14ac:dyDescent="0.15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3.5" customHeight="1" x14ac:dyDescent="0.15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3.5" customHeight="1" x14ac:dyDescent="0.15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3.5" customHeight="1" x14ac:dyDescent="0.1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3.5" customHeight="1" x14ac:dyDescent="0.15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13.5" customHeight="1" x14ac:dyDescent="0.15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3.5" customHeight="1" x14ac:dyDescent="0.15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3.5" customHeight="1" x14ac:dyDescent="0.15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13.5" customHeight="1" x14ac:dyDescent="0.15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3.5" customHeight="1" x14ac:dyDescent="0.15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3.5" customHeight="1" x14ac:dyDescent="0.15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3.5" customHeight="1" x14ac:dyDescent="0.15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3.5" customHeight="1" x14ac:dyDescent="0.15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3.5" customHeight="1" x14ac:dyDescent="0.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3.5" customHeight="1" x14ac:dyDescent="0.15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3.5" customHeight="1" x14ac:dyDescent="0.15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3.5" customHeight="1" x14ac:dyDescent="0.15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3.5" customHeight="1" x14ac:dyDescent="0.15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13.5" customHeight="1" x14ac:dyDescent="0.15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13.5" customHeight="1" x14ac:dyDescent="0.15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13.5" customHeight="1" x14ac:dyDescent="0.15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13.5" customHeight="1" x14ac:dyDescent="0.15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3.5" customHeight="1" x14ac:dyDescent="0.15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3.5" customHeight="1" x14ac:dyDescent="0.1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3.5" customHeight="1" x14ac:dyDescent="0.15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3.5" customHeight="1" x14ac:dyDescent="0.15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3.5" customHeight="1" x14ac:dyDescent="0.15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3.5" customHeight="1" x14ac:dyDescent="0.15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3.5" customHeight="1" x14ac:dyDescent="0.15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3.5" customHeight="1" x14ac:dyDescent="0.15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3.5" customHeight="1" x14ac:dyDescent="0.15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3.5" customHeight="1" x14ac:dyDescent="0.15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3.5" customHeight="1" x14ac:dyDescent="0.15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3.5" customHeight="1" x14ac:dyDescent="0.1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3.5" customHeight="1" x14ac:dyDescent="0.15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3.5" customHeight="1" x14ac:dyDescent="0.15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3.5" customHeight="1" x14ac:dyDescent="0.15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3.5" customHeight="1" x14ac:dyDescent="0.15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3.5" customHeight="1" x14ac:dyDescent="0.15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3.5" customHeight="1" x14ac:dyDescent="0.15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3.5" customHeight="1" x14ac:dyDescent="0.15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3.5" customHeight="1" x14ac:dyDescent="0.15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3.5" customHeight="1" x14ac:dyDescent="0.15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3.5" customHeight="1" x14ac:dyDescent="0.1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3.5" customHeight="1" x14ac:dyDescent="0.15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13.5" customHeight="1" x14ac:dyDescent="0.15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13.5" customHeight="1" x14ac:dyDescent="0.15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13.5" customHeight="1" x14ac:dyDescent="0.15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13.5" customHeight="1" x14ac:dyDescent="0.15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3.5" customHeight="1" x14ac:dyDescent="0.15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13.5" customHeight="1" x14ac:dyDescent="0.15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3.5" customHeight="1" x14ac:dyDescent="0.15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13.5" customHeight="1" x14ac:dyDescent="0.15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3.5" customHeight="1" x14ac:dyDescent="0.1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3.5" customHeight="1" x14ac:dyDescent="0.15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3.5" customHeight="1" x14ac:dyDescent="0.15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3.5" customHeight="1" x14ac:dyDescent="0.15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3.5" customHeight="1" x14ac:dyDescent="0.15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3.5" customHeight="1" x14ac:dyDescent="0.15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3.5" customHeight="1" x14ac:dyDescent="0.15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3.5" customHeight="1" x14ac:dyDescent="0.15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3.5" customHeight="1" x14ac:dyDescent="0.15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3.5" customHeight="1" x14ac:dyDescent="0.15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3.5" customHeight="1" x14ac:dyDescent="0.1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3.5" customHeight="1" x14ac:dyDescent="0.15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3.5" customHeight="1" x14ac:dyDescent="0.15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3.5" customHeight="1" x14ac:dyDescent="0.15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3.5" customHeight="1" x14ac:dyDescent="0.15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3.5" customHeight="1" x14ac:dyDescent="0.15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3.5" customHeight="1" x14ac:dyDescent="0.15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3.5" customHeight="1" x14ac:dyDescent="0.15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3.5" customHeight="1" x14ac:dyDescent="0.15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3.5" customHeight="1" x14ac:dyDescent="0.15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3.5" customHeight="1" x14ac:dyDescent="0.1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3.5" customHeight="1" x14ac:dyDescent="0.15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3.5" customHeight="1" x14ac:dyDescent="0.15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3.5" customHeight="1" x14ac:dyDescent="0.15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3.5" customHeight="1" x14ac:dyDescent="0.15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13.5" customHeight="1" x14ac:dyDescent="0.15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3.5" customHeight="1" x14ac:dyDescent="0.15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3.5" customHeight="1" x14ac:dyDescent="0.15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3.5" customHeight="1" x14ac:dyDescent="0.15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3.5" customHeight="1" x14ac:dyDescent="0.15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3.5" customHeight="1" x14ac:dyDescent="0.1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3.5" customHeight="1" x14ac:dyDescent="0.15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3.5" customHeight="1" x14ac:dyDescent="0.15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3.5" customHeight="1" x14ac:dyDescent="0.15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3.5" customHeight="1" x14ac:dyDescent="0.15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3.5" customHeight="1" x14ac:dyDescent="0.15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3.5" customHeight="1" x14ac:dyDescent="0.15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3.5" customHeight="1" x14ac:dyDescent="0.15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3.5" customHeight="1" x14ac:dyDescent="0.15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3.5" customHeight="1" x14ac:dyDescent="0.15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3.5" customHeight="1" x14ac:dyDescent="0.1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3.5" customHeight="1" x14ac:dyDescent="0.15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3.5" customHeight="1" x14ac:dyDescent="0.15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3.5" customHeight="1" x14ac:dyDescent="0.15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3.5" customHeight="1" x14ac:dyDescent="0.15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3.5" customHeight="1" x14ac:dyDescent="0.15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3.5" customHeight="1" x14ac:dyDescent="0.15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3.5" customHeight="1" x14ac:dyDescent="0.15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3.5" customHeight="1" x14ac:dyDescent="0.15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3.5" customHeight="1" x14ac:dyDescent="0.15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3.5" customHeight="1" x14ac:dyDescent="0.1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3.5" customHeight="1" x14ac:dyDescent="0.15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3.5" customHeight="1" x14ac:dyDescent="0.15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3.5" customHeight="1" x14ac:dyDescent="0.15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3.5" customHeight="1" x14ac:dyDescent="0.15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3.5" customHeight="1" x14ac:dyDescent="0.15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3.5" customHeight="1" x14ac:dyDescent="0.15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5.75" customHeight="1" x14ac:dyDescent="0.15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spans="1:26" ht="15.75" customHeight="1" x14ac:dyDescent="0.15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spans="1:26" ht="15.75" customHeight="1" x14ac:dyDescent="0.15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spans="1:26" ht="15.75" customHeight="1" x14ac:dyDescent="0.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spans="1:26" ht="15.75" customHeight="1" x14ac:dyDescent="0.15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spans="1:26" ht="15.75" customHeight="1" x14ac:dyDescent="0.15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spans="1:26" ht="15.75" customHeight="1" x14ac:dyDescent="0.15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spans="1:26" ht="15.75" customHeight="1" x14ac:dyDescent="0.15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spans="1:26" ht="15.75" customHeight="1" x14ac:dyDescent="0.15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spans="1:26" ht="15.75" customHeight="1" x14ac:dyDescent="0.15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spans="1:26" ht="15.75" customHeight="1" x14ac:dyDescent="0.15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</row>
    <row r="223" spans="1:26" ht="15.75" customHeight="1" x14ac:dyDescent="0.15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</row>
    <row r="224" spans="1:26" ht="15.75" customHeight="1" x14ac:dyDescent="0.15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</row>
    <row r="225" spans="1:26" ht="15.75" customHeight="1" x14ac:dyDescent="0.1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</row>
    <row r="226" spans="1:26" ht="15.75" customHeight="1" x14ac:dyDescent="0.15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 spans="1:26" ht="15.75" customHeight="1" x14ac:dyDescent="0.15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</row>
    <row r="228" spans="1:26" ht="15.75" customHeight="1" x14ac:dyDescent="0.15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</row>
    <row r="229" spans="1:26" ht="15.75" customHeight="1" x14ac:dyDescent="0.15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</row>
    <row r="230" spans="1:26" ht="15.75" customHeight="1" x14ac:dyDescent="0.15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</row>
    <row r="231" spans="1:26" ht="15.75" customHeight="1" x14ac:dyDescent="0.15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</row>
    <row r="232" spans="1:26" ht="15.75" customHeight="1" x14ac:dyDescent="0.15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</row>
    <row r="233" spans="1:26" ht="15.75" customHeight="1" x14ac:dyDescent="0.15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</row>
    <row r="234" spans="1:26" ht="15.75" customHeight="1" x14ac:dyDescent="0.15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</row>
    <row r="235" spans="1:26" ht="15.75" customHeight="1" x14ac:dyDescent="0.1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</row>
    <row r="236" spans="1:26" ht="15.75" customHeight="1" x14ac:dyDescent="0.15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</row>
    <row r="237" spans="1:26" ht="15.75" customHeight="1" x14ac:dyDescent="0.15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</row>
    <row r="238" spans="1:26" ht="15.75" customHeight="1" x14ac:dyDescent="0.15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</row>
    <row r="239" spans="1:26" ht="15.75" customHeight="1" x14ac:dyDescent="0.15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</row>
    <row r="240" spans="1:26" ht="15.75" customHeight="1" x14ac:dyDescent="0.15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</row>
    <row r="241" spans="1:26" ht="15.75" customHeight="1" x14ac:dyDescent="0.15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</row>
    <row r="242" spans="1:26" ht="15.75" customHeight="1" x14ac:dyDescent="0.15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</row>
    <row r="243" spans="1:26" ht="15.75" customHeight="1" x14ac:dyDescent="0.15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</row>
    <row r="244" spans="1:26" ht="15.75" customHeight="1" x14ac:dyDescent="0.15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</row>
    <row r="245" spans="1:26" ht="15.75" customHeight="1" x14ac:dyDescent="0.1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</row>
    <row r="246" spans="1:26" ht="15.75" customHeight="1" x14ac:dyDescent="0.15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</row>
    <row r="247" spans="1:26" ht="15.75" customHeight="1" x14ac:dyDescent="0.15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</row>
    <row r="248" spans="1:26" ht="15.75" customHeight="1" x14ac:dyDescent="0.15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</row>
    <row r="249" spans="1:26" ht="15.75" customHeight="1" x14ac:dyDescent="0.15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</row>
    <row r="250" spans="1:26" ht="15.75" customHeight="1" x14ac:dyDescent="0.15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</row>
    <row r="251" spans="1:26" ht="15.75" customHeight="1" x14ac:dyDescent="0.15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</row>
    <row r="252" spans="1:26" ht="15.75" customHeight="1" x14ac:dyDescent="0.15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</row>
    <row r="253" spans="1:26" ht="15.75" customHeight="1" x14ac:dyDescent="0.15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</row>
    <row r="254" spans="1:26" ht="15.75" customHeight="1" x14ac:dyDescent="0.15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</row>
    <row r="255" spans="1:26" ht="15.75" customHeight="1" x14ac:dyDescent="0.1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</row>
    <row r="256" spans="1:26" ht="15.75" customHeight="1" x14ac:dyDescent="0.15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</row>
    <row r="257" spans="1:26" ht="15.75" customHeight="1" x14ac:dyDescent="0.15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</row>
    <row r="258" spans="1:26" ht="15.75" customHeight="1" x14ac:dyDescent="0.15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</row>
    <row r="259" spans="1:26" ht="15.75" customHeight="1" x14ac:dyDescent="0.15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</row>
    <row r="260" spans="1:26" ht="15.75" customHeight="1" x14ac:dyDescent="0.15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</row>
    <row r="261" spans="1:26" ht="15.75" customHeight="1" x14ac:dyDescent="0.15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</row>
    <row r="262" spans="1:26" ht="15.75" customHeight="1" x14ac:dyDescent="0.15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</row>
    <row r="263" spans="1:26" ht="15.75" customHeight="1" x14ac:dyDescent="0.15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</row>
    <row r="264" spans="1:26" ht="15.75" customHeight="1" x14ac:dyDescent="0.15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</row>
    <row r="265" spans="1:26" ht="15.75" customHeight="1" x14ac:dyDescent="0.1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</row>
    <row r="266" spans="1:26" ht="15.75" customHeight="1" x14ac:dyDescent="0.15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</row>
    <row r="267" spans="1:26" ht="15.75" customHeight="1" x14ac:dyDescent="0.15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</row>
    <row r="268" spans="1:26" ht="15.75" customHeight="1" x14ac:dyDescent="0.15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</row>
    <row r="269" spans="1:26" ht="15.75" customHeight="1" x14ac:dyDescent="0.15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</row>
    <row r="270" spans="1:26" ht="15.75" customHeight="1" x14ac:dyDescent="0.15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</row>
    <row r="271" spans="1:26" ht="15.75" customHeight="1" x14ac:dyDescent="0.15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</row>
    <row r="272" spans="1:26" ht="15.75" customHeight="1" x14ac:dyDescent="0.15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</row>
    <row r="273" spans="1:26" ht="15.75" customHeight="1" x14ac:dyDescent="0.15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</row>
    <row r="274" spans="1:26" ht="15.75" customHeight="1" x14ac:dyDescent="0.15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</row>
    <row r="275" spans="1:26" ht="15.75" customHeight="1" x14ac:dyDescent="0.1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</row>
    <row r="276" spans="1:26" ht="15.75" customHeight="1" x14ac:dyDescent="0.15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</row>
    <row r="277" spans="1:26" ht="15.75" customHeight="1" x14ac:dyDescent="0.15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</row>
    <row r="278" spans="1:26" ht="15.75" customHeight="1" x14ac:dyDescent="0.15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</row>
    <row r="279" spans="1:26" ht="15.75" customHeight="1" x14ac:dyDescent="0.15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</row>
    <row r="280" spans="1:26" ht="15.75" customHeight="1" x14ac:dyDescent="0.15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</row>
    <row r="281" spans="1:26" ht="15.75" customHeight="1" x14ac:dyDescent="0.15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</row>
    <row r="282" spans="1:26" ht="15.75" customHeight="1" x14ac:dyDescent="0.15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</row>
    <row r="283" spans="1:26" ht="15.75" customHeight="1" x14ac:dyDescent="0.15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</row>
    <row r="284" spans="1:26" ht="15.75" customHeight="1" x14ac:dyDescent="0.15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</row>
    <row r="285" spans="1:26" ht="15.75" customHeight="1" x14ac:dyDescent="0.1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</row>
    <row r="286" spans="1:26" ht="15.75" customHeight="1" x14ac:dyDescent="0.15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</row>
    <row r="287" spans="1:26" ht="15.75" customHeight="1" x14ac:dyDescent="0.15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</row>
    <row r="288" spans="1:26" ht="15.75" customHeight="1" x14ac:dyDescent="0.15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</row>
    <row r="289" spans="1:26" ht="15.75" customHeight="1" x14ac:dyDescent="0.15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</row>
    <row r="290" spans="1:26" ht="15.75" customHeight="1" x14ac:dyDescent="0.15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</row>
    <row r="291" spans="1:26" ht="15.75" customHeight="1" x14ac:dyDescent="0.15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</row>
    <row r="292" spans="1:26" ht="15.75" customHeight="1" x14ac:dyDescent="0.15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</row>
    <row r="293" spans="1:26" ht="15.75" customHeight="1" x14ac:dyDescent="0.15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</row>
    <row r="294" spans="1:26" ht="15.75" customHeight="1" x14ac:dyDescent="0.15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</row>
    <row r="295" spans="1:26" ht="15.75" customHeight="1" x14ac:dyDescent="0.1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</row>
    <row r="296" spans="1:26" ht="15.75" customHeight="1" x14ac:dyDescent="0.15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</row>
    <row r="297" spans="1:26" ht="15.75" customHeight="1" x14ac:dyDescent="0.15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</row>
    <row r="298" spans="1:26" ht="15.75" customHeight="1" x14ac:dyDescent="0.15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</row>
    <row r="299" spans="1:26" ht="15.75" customHeight="1" x14ac:dyDescent="0.15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</row>
    <row r="300" spans="1:26" ht="15.75" customHeight="1" x14ac:dyDescent="0.15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</row>
    <row r="301" spans="1:26" ht="15.75" customHeight="1" x14ac:dyDescent="0.15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</row>
    <row r="302" spans="1:26" ht="15.75" customHeight="1" x14ac:dyDescent="0.15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</row>
    <row r="303" spans="1:26" ht="15.75" customHeight="1" x14ac:dyDescent="0.15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</row>
    <row r="304" spans="1:26" ht="15.75" customHeight="1" x14ac:dyDescent="0.15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</row>
    <row r="305" spans="1:26" ht="15.75" customHeight="1" x14ac:dyDescent="0.1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</row>
    <row r="306" spans="1:26" ht="15.75" customHeight="1" x14ac:dyDescent="0.15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</row>
    <row r="307" spans="1:26" ht="15.75" customHeight="1" x14ac:dyDescent="0.15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</row>
    <row r="308" spans="1:26" ht="15.75" customHeight="1" x14ac:dyDescent="0.15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</row>
    <row r="309" spans="1:26" ht="15.75" customHeight="1" x14ac:dyDescent="0.15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</row>
    <row r="310" spans="1:26" ht="15.75" customHeight="1" x14ac:dyDescent="0.15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</row>
    <row r="311" spans="1:26" ht="15.75" customHeight="1" x14ac:dyDescent="0.15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</row>
    <row r="312" spans="1:26" ht="15.75" customHeight="1" x14ac:dyDescent="0.15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</row>
    <row r="313" spans="1:26" ht="15.75" customHeight="1" x14ac:dyDescent="0.15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</row>
    <row r="314" spans="1:26" ht="15.75" customHeight="1" x14ac:dyDescent="0.15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</row>
    <row r="315" spans="1:26" ht="15.75" customHeight="1" x14ac:dyDescent="0.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</row>
    <row r="316" spans="1:26" ht="15.75" customHeight="1" x14ac:dyDescent="0.15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</row>
    <row r="317" spans="1:26" ht="15.75" customHeight="1" x14ac:dyDescent="0.15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</row>
    <row r="318" spans="1:26" ht="15.75" customHeight="1" x14ac:dyDescent="0.15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</row>
    <row r="319" spans="1:26" ht="15.75" customHeight="1" x14ac:dyDescent="0.15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</row>
    <row r="320" spans="1:26" ht="15.75" customHeight="1" x14ac:dyDescent="0.15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</row>
    <row r="321" spans="1:26" ht="15.75" customHeight="1" x14ac:dyDescent="0.15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</row>
    <row r="322" spans="1:26" ht="15.75" customHeight="1" x14ac:dyDescent="0.15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</row>
    <row r="323" spans="1:26" ht="15.75" customHeight="1" x14ac:dyDescent="0.15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</row>
    <row r="324" spans="1:26" ht="15.75" customHeight="1" x14ac:dyDescent="0.15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</row>
    <row r="325" spans="1:26" ht="15.75" customHeight="1" x14ac:dyDescent="0.1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</row>
    <row r="326" spans="1:26" ht="15.75" customHeight="1" x14ac:dyDescent="0.15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</row>
    <row r="327" spans="1:26" ht="15.75" customHeight="1" x14ac:dyDescent="0.15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</row>
    <row r="328" spans="1:26" ht="15.75" customHeight="1" x14ac:dyDescent="0.15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</row>
    <row r="329" spans="1:26" ht="15.75" customHeight="1" x14ac:dyDescent="0.15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</row>
    <row r="330" spans="1:26" ht="15.75" customHeight="1" x14ac:dyDescent="0.15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</row>
    <row r="331" spans="1:26" ht="15.75" customHeight="1" x14ac:dyDescent="0.15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</row>
    <row r="332" spans="1:26" ht="15.75" customHeight="1" x14ac:dyDescent="0.15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</row>
    <row r="333" spans="1:26" ht="15.75" customHeight="1" x14ac:dyDescent="0.15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</row>
    <row r="334" spans="1:26" ht="15.75" customHeight="1" x14ac:dyDescent="0.15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spans="1:26" ht="15.75" customHeight="1" x14ac:dyDescent="0.1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</row>
    <row r="336" spans="1:26" ht="15.75" customHeight="1" x14ac:dyDescent="0.15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</row>
    <row r="337" spans="1:26" ht="15.75" customHeight="1" x14ac:dyDescent="0.15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</row>
    <row r="338" spans="1:26" ht="15.75" customHeight="1" x14ac:dyDescent="0.15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</row>
    <row r="339" spans="1:26" ht="15.75" customHeight="1" x14ac:dyDescent="0.15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</row>
    <row r="340" spans="1:26" ht="15.75" customHeight="1" x14ac:dyDescent="0.15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</row>
    <row r="341" spans="1:26" ht="15.75" customHeight="1" x14ac:dyDescent="0.15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</row>
    <row r="342" spans="1:26" ht="15.75" customHeight="1" x14ac:dyDescent="0.15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</row>
    <row r="343" spans="1:26" ht="15.75" customHeight="1" x14ac:dyDescent="0.15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</row>
    <row r="344" spans="1:26" ht="15.75" customHeight="1" x14ac:dyDescent="0.15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</row>
    <row r="345" spans="1:26" ht="15.75" customHeight="1" x14ac:dyDescent="0.1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</row>
    <row r="346" spans="1:26" ht="15.75" customHeight="1" x14ac:dyDescent="0.15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</row>
    <row r="347" spans="1:26" ht="15.75" customHeight="1" x14ac:dyDescent="0.15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</row>
    <row r="348" spans="1:26" ht="15.75" customHeight="1" x14ac:dyDescent="0.15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</row>
    <row r="349" spans="1:26" ht="15.75" customHeight="1" x14ac:dyDescent="0.15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</row>
    <row r="350" spans="1:26" ht="15.75" customHeight="1" x14ac:dyDescent="0.15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</row>
    <row r="351" spans="1:26" ht="15.75" customHeight="1" x14ac:dyDescent="0.15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</row>
    <row r="352" spans="1:26" ht="15.75" customHeight="1" x14ac:dyDescent="0.15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</row>
    <row r="353" spans="1:26" ht="15.75" customHeight="1" x14ac:dyDescent="0.15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</row>
    <row r="354" spans="1:26" ht="15.75" customHeight="1" x14ac:dyDescent="0.15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</row>
    <row r="355" spans="1:26" ht="15.75" customHeight="1" x14ac:dyDescent="0.1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</row>
    <row r="356" spans="1:26" ht="15.75" customHeight="1" x14ac:dyDescent="0.15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</row>
    <row r="357" spans="1:26" ht="15.75" customHeight="1" x14ac:dyDescent="0.15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</row>
    <row r="358" spans="1:26" ht="15.75" customHeight="1" x14ac:dyDescent="0.15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</row>
    <row r="359" spans="1:26" ht="15.75" customHeight="1" x14ac:dyDescent="0.15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</row>
    <row r="360" spans="1:26" ht="15.75" customHeight="1" x14ac:dyDescent="0.15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</row>
    <row r="361" spans="1:26" ht="15.75" customHeight="1" x14ac:dyDescent="0.15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</row>
    <row r="362" spans="1:26" ht="15.75" customHeight="1" x14ac:dyDescent="0.15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</row>
    <row r="363" spans="1:26" ht="15.75" customHeight="1" x14ac:dyDescent="0.15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</row>
    <row r="364" spans="1:26" ht="15.75" customHeight="1" x14ac:dyDescent="0.15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</row>
    <row r="365" spans="1:26" ht="15.75" customHeight="1" x14ac:dyDescent="0.1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</row>
    <row r="366" spans="1:26" ht="15.75" customHeight="1" x14ac:dyDescent="0.15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</row>
    <row r="367" spans="1:26" ht="15.75" customHeight="1" x14ac:dyDescent="0.15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</row>
    <row r="368" spans="1:26" ht="15.75" customHeight="1" x14ac:dyDescent="0.15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</row>
    <row r="369" spans="1:26" ht="15.75" customHeight="1" x14ac:dyDescent="0.15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</row>
    <row r="370" spans="1:26" ht="15.75" customHeight="1" x14ac:dyDescent="0.15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</row>
    <row r="371" spans="1:26" ht="15.75" customHeight="1" x14ac:dyDescent="0.15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</row>
    <row r="372" spans="1:26" ht="15.75" customHeight="1" x14ac:dyDescent="0.15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</row>
    <row r="373" spans="1:26" ht="15.75" customHeight="1" x14ac:dyDescent="0.15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</row>
    <row r="374" spans="1:26" ht="15.75" customHeight="1" x14ac:dyDescent="0.15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</row>
    <row r="375" spans="1:26" ht="15.75" customHeight="1" x14ac:dyDescent="0.1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</row>
    <row r="376" spans="1:26" ht="15.75" customHeight="1" x14ac:dyDescent="0.15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</row>
    <row r="377" spans="1:26" ht="15.75" customHeight="1" x14ac:dyDescent="0.15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</row>
    <row r="378" spans="1:26" ht="15.75" customHeight="1" x14ac:dyDescent="0.15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</row>
    <row r="379" spans="1:26" ht="15.75" customHeight="1" x14ac:dyDescent="0.15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</row>
    <row r="380" spans="1:26" ht="15.75" customHeight="1" x14ac:dyDescent="0.15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</row>
    <row r="381" spans="1:26" ht="15.75" customHeight="1" x14ac:dyDescent="0.15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</row>
    <row r="382" spans="1:26" ht="15.75" customHeight="1" x14ac:dyDescent="0.15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</row>
    <row r="383" spans="1:26" ht="15.75" customHeight="1" x14ac:dyDescent="0.15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</row>
    <row r="384" spans="1:26" ht="15.75" customHeight="1" x14ac:dyDescent="0.15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</row>
    <row r="385" spans="1:26" ht="15.75" customHeight="1" x14ac:dyDescent="0.1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</row>
    <row r="386" spans="1:26" ht="15.75" customHeight="1" x14ac:dyDescent="0.15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</row>
    <row r="387" spans="1:26" ht="15.75" customHeight="1" x14ac:dyDescent="0.15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</row>
    <row r="388" spans="1:26" ht="15.75" customHeight="1" x14ac:dyDescent="0.15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</row>
    <row r="389" spans="1:26" ht="15.75" customHeight="1" x14ac:dyDescent="0.15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</row>
    <row r="390" spans="1:26" ht="15.75" customHeight="1" x14ac:dyDescent="0.15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</row>
    <row r="391" spans="1:26" ht="15.75" customHeight="1" x14ac:dyDescent="0.15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</row>
    <row r="392" spans="1:26" ht="15.75" customHeight="1" x14ac:dyDescent="0.15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</row>
    <row r="393" spans="1:26" ht="15.75" customHeight="1" x14ac:dyDescent="0.15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</row>
    <row r="394" spans="1:26" ht="15.75" customHeight="1" x14ac:dyDescent="0.15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</row>
    <row r="395" spans="1:26" ht="15.75" customHeight="1" x14ac:dyDescent="0.1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</row>
    <row r="396" spans="1:26" ht="15.75" customHeight="1" x14ac:dyDescent="0.15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</row>
    <row r="397" spans="1:26" ht="15.75" customHeight="1" x14ac:dyDescent="0.15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</row>
    <row r="398" spans="1:26" ht="15.75" customHeight="1" x14ac:dyDescent="0.15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</row>
    <row r="399" spans="1:26" ht="15.75" customHeight="1" x14ac:dyDescent="0.15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</row>
    <row r="400" spans="1:26" ht="15.75" customHeight="1" x14ac:dyDescent="0.15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</row>
    <row r="401" spans="1:26" ht="15.75" customHeight="1" x14ac:dyDescent="0.15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</row>
    <row r="402" spans="1:26" ht="15.75" customHeight="1" x14ac:dyDescent="0.15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</row>
    <row r="403" spans="1:26" ht="15.75" customHeight="1" x14ac:dyDescent="0.15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</row>
    <row r="404" spans="1:26" ht="15.75" customHeight="1" x14ac:dyDescent="0.15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</row>
    <row r="405" spans="1:26" ht="15.75" customHeight="1" x14ac:dyDescent="0.1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</row>
    <row r="406" spans="1:26" ht="15.75" customHeight="1" x14ac:dyDescent="0.15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</row>
    <row r="407" spans="1:26" ht="15.75" customHeight="1" x14ac:dyDescent="0.15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</row>
    <row r="408" spans="1:26" ht="15.75" customHeight="1" x14ac:dyDescent="0.15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</row>
    <row r="409" spans="1:26" ht="15.75" customHeight="1" x14ac:dyDescent="0.15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</row>
    <row r="410" spans="1:26" ht="15.75" customHeight="1" x14ac:dyDescent="0.15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</row>
    <row r="411" spans="1:26" ht="15.75" customHeight="1" x14ac:dyDescent="0.15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</row>
    <row r="412" spans="1:26" ht="15.75" customHeight="1" x14ac:dyDescent="0.15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</row>
    <row r="413" spans="1:26" ht="15.75" customHeight="1" x14ac:dyDescent="0.15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</row>
    <row r="414" spans="1:26" ht="15.75" customHeight="1" x14ac:dyDescent="0.15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</row>
    <row r="415" spans="1:26" ht="15.75" customHeight="1" x14ac:dyDescent="0.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</row>
    <row r="416" spans="1:26" ht="15.75" customHeight="1" x14ac:dyDescent="0.15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</row>
    <row r="417" spans="1:26" ht="15.75" customHeight="1" x14ac:dyDescent="0.15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</row>
    <row r="418" spans="1:26" ht="15.75" customHeight="1" x14ac:dyDescent="0.15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</row>
    <row r="419" spans="1:26" ht="15.75" customHeight="1" x14ac:dyDescent="0.15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</row>
    <row r="420" spans="1:26" ht="15.75" customHeight="1" x14ac:dyDescent="0.15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</row>
    <row r="421" spans="1:26" ht="15.75" customHeight="1" x14ac:dyDescent="0.15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</row>
    <row r="422" spans="1:26" ht="15.75" customHeight="1" x14ac:dyDescent="0.15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</row>
    <row r="423" spans="1:26" ht="15.75" customHeight="1" x14ac:dyDescent="0.15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</row>
    <row r="424" spans="1:26" ht="15.75" customHeight="1" x14ac:dyDescent="0.15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</row>
    <row r="425" spans="1:26" ht="15.75" customHeight="1" x14ac:dyDescent="0.1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</row>
    <row r="426" spans="1:26" ht="15.75" customHeight="1" x14ac:dyDescent="0.15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</row>
    <row r="427" spans="1:26" ht="15.75" customHeight="1" x14ac:dyDescent="0.15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</row>
    <row r="428" spans="1:26" ht="15.75" customHeight="1" x14ac:dyDescent="0.15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</row>
    <row r="429" spans="1:26" ht="15.75" customHeight="1" x14ac:dyDescent="0.15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</row>
    <row r="430" spans="1:26" ht="15.75" customHeight="1" x14ac:dyDescent="0.15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</row>
    <row r="431" spans="1:26" ht="15.75" customHeight="1" x14ac:dyDescent="0.15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</row>
    <row r="432" spans="1:26" ht="15.75" customHeight="1" x14ac:dyDescent="0.15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</row>
    <row r="433" spans="1:26" ht="15.75" customHeight="1" x14ac:dyDescent="0.15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</row>
    <row r="434" spans="1:26" ht="15.75" customHeight="1" x14ac:dyDescent="0.15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</row>
    <row r="435" spans="1:26" ht="15.75" customHeight="1" x14ac:dyDescent="0.1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</row>
    <row r="436" spans="1:26" ht="15.75" customHeight="1" x14ac:dyDescent="0.15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</row>
    <row r="437" spans="1:26" ht="15.75" customHeight="1" x14ac:dyDescent="0.15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</row>
    <row r="438" spans="1:26" ht="15.75" customHeight="1" x14ac:dyDescent="0.15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</row>
    <row r="439" spans="1:26" ht="15.75" customHeight="1" x14ac:dyDescent="0.15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</row>
    <row r="440" spans="1:26" ht="15.75" customHeight="1" x14ac:dyDescent="0.15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</row>
    <row r="441" spans="1:26" ht="15.75" customHeight="1" x14ac:dyDescent="0.15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</row>
    <row r="442" spans="1:26" ht="15.75" customHeight="1" x14ac:dyDescent="0.15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</row>
    <row r="443" spans="1:26" ht="15.75" customHeight="1" x14ac:dyDescent="0.15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</row>
    <row r="444" spans="1:26" ht="15.75" customHeight="1" x14ac:dyDescent="0.15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</row>
    <row r="445" spans="1:26" ht="15.75" customHeight="1" x14ac:dyDescent="0.1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</row>
    <row r="446" spans="1:26" ht="15.75" customHeight="1" x14ac:dyDescent="0.15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</row>
    <row r="447" spans="1:26" ht="15.75" customHeight="1" x14ac:dyDescent="0.15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</row>
    <row r="448" spans="1:26" ht="15.75" customHeight="1" x14ac:dyDescent="0.15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</row>
    <row r="449" spans="1:26" ht="15.75" customHeight="1" x14ac:dyDescent="0.15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</row>
    <row r="450" spans="1:26" ht="15.75" customHeight="1" x14ac:dyDescent="0.15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</row>
    <row r="451" spans="1:26" ht="15.75" customHeight="1" x14ac:dyDescent="0.15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</row>
    <row r="452" spans="1:26" ht="15.75" customHeight="1" x14ac:dyDescent="0.15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</row>
    <row r="453" spans="1:26" ht="15.75" customHeight="1" x14ac:dyDescent="0.15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</row>
    <row r="454" spans="1:26" ht="15.75" customHeight="1" x14ac:dyDescent="0.15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</row>
    <row r="455" spans="1:26" ht="15.75" customHeight="1" x14ac:dyDescent="0.1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</row>
    <row r="456" spans="1:26" ht="15.75" customHeight="1" x14ac:dyDescent="0.15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</row>
    <row r="457" spans="1:26" ht="15.75" customHeight="1" x14ac:dyDescent="0.15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</row>
    <row r="458" spans="1:26" ht="15.75" customHeight="1" x14ac:dyDescent="0.15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</row>
    <row r="459" spans="1:26" ht="15.75" customHeight="1" x14ac:dyDescent="0.15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</row>
    <row r="460" spans="1:26" ht="15.75" customHeight="1" x14ac:dyDescent="0.15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</row>
    <row r="461" spans="1:26" ht="15.75" customHeight="1" x14ac:dyDescent="0.15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</row>
    <row r="462" spans="1:26" ht="15.75" customHeight="1" x14ac:dyDescent="0.15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</row>
    <row r="463" spans="1:26" ht="15.75" customHeight="1" x14ac:dyDescent="0.15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</row>
    <row r="464" spans="1:26" ht="15.75" customHeight="1" x14ac:dyDescent="0.15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</row>
    <row r="465" spans="1:26" ht="15.75" customHeight="1" x14ac:dyDescent="0.1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</row>
    <row r="466" spans="1:26" ht="15.75" customHeight="1" x14ac:dyDescent="0.15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</row>
    <row r="467" spans="1:26" ht="15.75" customHeight="1" x14ac:dyDescent="0.15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</row>
    <row r="468" spans="1:26" ht="15.75" customHeight="1" x14ac:dyDescent="0.15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</row>
    <row r="469" spans="1:26" ht="15.75" customHeight="1" x14ac:dyDescent="0.15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</row>
    <row r="470" spans="1:26" ht="15.75" customHeight="1" x14ac:dyDescent="0.15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</row>
    <row r="471" spans="1:26" ht="15.75" customHeight="1" x14ac:dyDescent="0.15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</row>
    <row r="472" spans="1:26" ht="15.75" customHeight="1" x14ac:dyDescent="0.15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</row>
    <row r="473" spans="1:26" ht="15.75" customHeight="1" x14ac:dyDescent="0.15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</row>
    <row r="474" spans="1:26" ht="15.75" customHeight="1" x14ac:dyDescent="0.15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</row>
    <row r="475" spans="1:26" ht="15.75" customHeight="1" x14ac:dyDescent="0.1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</row>
    <row r="476" spans="1:26" ht="15.75" customHeight="1" x14ac:dyDescent="0.15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</row>
    <row r="477" spans="1:26" ht="15.75" customHeight="1" x14ac:dyDescent="0.15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</row>
    <row r="478" spans="1:26" ht="15.75" customHeight="1" x14ac:dyDescent="0.15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</row>
    <row r="479" spans="1:26" ht="15.75" customHeight="1" x14ac:dyDescent="0.15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</row>
    <row r="480" spans="1:26" ht="15.75" customHeight="1" x14ac:dyDescent="0.15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</row>
    <row r="481" spans="1:26" ht="15.75" customHeight="1" x14ac:dyDescent="0.15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</row>
    <row r="482" spans="1:26" ht="15.75" customHeight="1" x14ac:dyDescent="0.15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</row>
    <row r="483" spans="1:26" ht="15.75" customHeight="1" x14ac:dyDescent="0.15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</row>
    <row r="484" spans="1:26" ht="15.75" customHeight="1" x14ac:dyDescent="0.15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</row>
    <row r="485" spans="1:26" ht="15.75" customHeight="1" x14ac:dyDescent="0.1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</row>
    <row r="486" spans="1:26" ht="15.75" customHeight="1" x14ac:dyDescent="0.15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</row>
    <row r="487" spans="1:26" ht="15.75" customHeight="1" x14ac:dyDescent="0.15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</row>
    <row r="488" spans="1:26" ht="15.75" customHeight="1" x14ac:dyDescent="0.15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</row>
    <row r="489" spans="1:26" ht="15.75" customHeight="1" x14ac:dyDescent="0.15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</row>
    <row r="490" spans="1:26" ht="15.75" customHeight="1" x14ac:dyDescent="0.15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</row>
    <row r="491" spans="1:26" ht="15.75" customHeight="1" x14ac:dyDescent="0.15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</row>
    <row r="492" spans="1:26" ht="15.75" customHeight="1" x14ac:dyDescent="0.15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</row>
    <row r="493" spans="1:26" ht="15.75" customHeight="1" x14ac:dyDescent="0.15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</row>
    <row r="494" spans="1:26" ht="15.75" customHeight="1" x14ac:dyDescent="0.15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</row>
    <row r="495" spans="1:26" ht="15.75" customHeight="1" x14ac:dyDescent="0.1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</row>
    <row r="496" spans="1:26" ht="15.75" customHeight="1" x14ac:dyDescent="0.15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</row>
    <row r="497" spans="1:26" ht="15.75" customHeight="1" x14ac:dyDescent="0.15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</row>
    <row r="498" spans="1:26" ht="15.75" customHeight="1" x14ac:dyDescent="0.15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</row>
    <row r="499" spans="1:26" ht="15.75" customHeight="1" x14ac:dyDescent="0.15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</row>
    <row r="500" spans="1:26" ht="15.75" customHeight="1" x14ac:dyDescent="0.15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</row>
    <row r="501" spans="1:26" ht="15.75" customHeight="1" x14ac:dyDescent="0.15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</row>
    <row r="502" spans="1:26" ht="15.75" customHeight="1" x14ac:dyDescent="0.15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</row>
    <row r="503" spans="1:26" ht="15.75" customHeight="1" x14ac:dyDescent="0.15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</row>
    <row r="504" spans="1:26" ht="15.75" customHeight="1" x14ac:dyDescent="0.15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</row>
    <row r="505" spans="1:26" ht="15.75" customHeight="1" x14ac:dyDescent="0.1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</row>
    <row r="506" spans="1:26" ht="15.75" customHeight="1" x14ac:dyDescent="0.15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</row>
    <row r="507" spans="1:26" ht="15.75" customHeight="1" x14ac:dyDescent="0.15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</row>
    <row r="508" spans="1:26" ht="15.75" customHeight="1" x14ac:dyDescent="0.15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</row>
    <row r="509" spans="1:26" ht="15.75" customHeight="1" x14ac:dyDescent="0.15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</row>
    <row r="510" spans="1:26" ht="15.75" customHeight="1" x14ac:dyDescent="0.15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</row>
    <row r="511" spans="1:26" ht="15.75" customHeight="1" x14ac:dyDescent="0.15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</row>
    <row r="512" spans="1:26" ht="15.75" customHeight="1" x14ac:dyDescent="0.15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</row>
    <row r="513" spans="1:26" ht="15.75" customHeight="1" x14ac:dyDescent="0.15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</row>
    <row r="514" spans="1:26" ht="15.75" customHeight="1" x14ac:dyDescent="0.15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</row>
    <row r="515" spans="1:26" ht="15.75" customHeight="1" x14ac:dyDescent="0.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</row>
    <row r="516" spans="1:26" ht="15.75" customHeight="1" x14ac:dyDescent="0.15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</row>
    <row r="517" spans="1:26" ht="15.75" customHeight="1" x14ac:dyDescent="0.15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</row>
    <row r="518" spans="1:26" ht="15.75" customHeight="1" x14ac:dyDescent="0.15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</row>
    <row r="519" spans="1:26" ht="15.75" customHeight="1" x14ac:dyDescent="0.15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</row>
    <row r="520" spans="1:26" ht="15.75" customHeight="1" x14ac:dyDescent="0.15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</row>
    <row r="521" spans="1:26" ht="15.75" customHeight="1" x14ac:dyDescent="0.15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</row>
    <row r="522" spans="1:26" ht="15.75" customHeight="1" x14ac:dyDescent="0.15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</row>
    <row r="523" spans="1:26" ht="15.75" customHeight="1" x14ac:dyDescent="0.15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</row>
    <row r="524" spans="1:26" ht="15.75" customHeight="1" x14ac:dyDescent="0.15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</row>
    <row r="525" spans="1:26" ht="15.75" customHeight="1" x14ac:dyDescent="0.1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 spans="1:26" ht="15.75" customHeight="1" x14ac:dyDescent="0.15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</row>
    <row r="527" spans="1:26" ht="15.75" customHeight="1" x14ac:dyDescent="0.15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</row>
    <row r="528" spans="1:26" ht="15.75" customHeight="1" x14ac:dyDescent="0.15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</row>
    <row r="529" spans="1:26" ht="15.75" customHeight="1" x14ac:dyDescent="0.15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</row>
    <row r="530" spans="1:26" ht="15.75" customHeight="1" x14ac:dyDescent="0.15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</row>
    <row r="531" spans="1:26" ht="15.75" customHeight="1" x14ac:dyDescent="0.15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 spans="1:26" ht="15.75" customHeight="1" x14ac:dyDescent="0.15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</row>
    <row r="533" spans="1:26" ht="15.75" customHeight="1" x14ac:dyDescent="0.15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</row>
    <row r="534" spans="1:26" ht="15.75" customHeight="1" x14ac:dyDescent="0.15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</row>
    <row r="535" spans="1:26" ht="15.75" customHeight="1" x14ac:dyDescent="0.1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</row>
    <row r="536" spans="1:26" ht="15.75" customHeight="1" x14ac:dyDescent="0.15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</row>
    <row r="537" spans="1:26" ht="15.75" customHeight="1" x14ac:dyDescent="0.15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 spans="1:26" ht="15.75" customHeight="1" x14ac:dyDescent="0.15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</row>
    <row r="539" spans="1:26" ht="15.75" customHeight="1" x14ac:dyDescent="0.15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</row>
    <row r="540" spans="1:26" ht="15.75" customHeight="1" x14ac:dyDescent="0.15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</row>
    <row r="541" spans="1:26" ht="15.75" customHeight="1" x14ac:dyDescent="0.15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</row>
    <row r="542" spans="1:26" ht="15.75" customHeight="1" x14ac:dyDescent="0.15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</row>
    <row r="543" spans="1:26" ht="15.75" customHeight="1" x14ac:dyDescent="0.15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</row>
    <row r="544" spans="1:26" ht="15.75" customHeight="1" x14ac:dyDescent="0.15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</row>
    <row r="545" spans="1:26" ht="15.75" customHeight="1" x14ac:dyDescent="0.1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</row>
    <row r="546" spans="1:26" ht="15.75" customHeight="1" x14ac:dyDescent="0.15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</row>
    <row r="547" spans="1:26" ht="15.75" customHeight="1" x14ac:dyDescent="0.15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</row>
    <row r="548" spans="1:26" ht="15.75" customHeight="1" x14ac:dyDescent="0.15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</row>
    <row r="549" spans="1:26" ht="15.75" customHeight="1" x14ac:dyDescent="0.15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</row>
    <row r="550" spans="1:26" ht="15.75" customHeight="1" x14ac:dyDescent="0.15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</row>
    <row r="551" spans="1:26" ht="15.75" customHeight="1" x14ac:dyDescent="0.15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</row>
    <row r="552" spans="1:26" ht="15.75" customHeight="1" x14ac:dyDescent="0.15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</row>
    <row r="553" spans="1:26" ht="15.75" customHeight="1" x14ac:dyDescent="0.15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</row>
    <row r="554" spans="1:26" ht="15.75" customHeight="1" x14ac:dyDescent="0.15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</row>
    <row r="555" spans="1:26" ht="15.75" customHeight="1" x14ac:dyDescent="0.1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</row>
    <row r="556" spans="1:26" ht="15.75" customHeight="1" x14ac:dyDescent="0.15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</row>
    <row r="557" spans="1:26" ht="15.75" customHeight="1" x14ac:dyDescent="0.15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</row>
    <row r="558" spans="1:26" ht="15.75" customHeight="1" x14ac:dyDescent="0.15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</row>
    <row r="559" spans="1:26" ht="15.75" customHeight="1" x14ac:dyDescent="0.15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</row>
    <row r="560" spans="1:26" ht="15.75" customHeight="1" x14ac:dyDescent="0.15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</row>
    <row r="561" spans="1:26" ht="15.75" customHeight="1" x14ac:dyDescent="0.15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</row>
    <row r="562" spans="1:26" ht="15.75" customHeight="1" x14ac:dyDescent="0.15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</row>
    <row r="563" spans="1:26" ht="15.75" customHeight="1" x14ac:dyDescent="0.15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</row>
    <row r="564" spans="1:26" ht="15.75" customHeight="1" x14ac:dyDescent="0.15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</row>
    <row r="565" spans="1:26" ht="15.75" customHeight="1" x14ac:dyDescent="0.1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</row>
    <row r="566" spans="1:26" ht="15.75" customHeight="1" x14ac:dyDescent="0.15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</row>
    <row r="567" spans="1:26" ht="15.75" customHeight="1" x14ac:dyDescent="0.15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</row>
    <row r="568" spans="1:26" ht="15.75" customHeight="1" x14ac:dyDescent="0.15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</row>
    <row r="569" spans="1:26" ht="15.75" customHeight="1" x14ac:dyDescent="0.15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</row>
    <row r="570" spans="1:26" ht="15.75" customHeight="1" x14ac:dyDescent="0.15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</row>
    <row r="571" spans="1:26" ht="15.75" customHeight="1" x14ac:dyDescent="0.15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</row>
    <row r="572" spans="1:26" ht="15.75" customHeight="1" x14ac:dyDescent="0.15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</row>
    <row r="573" spans="1:26" ht="15.75" customHeight="1" x14ac:dyDescent="0.15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</row>
    <row r="574" spans="1:26" ht="15.75" customHeight="1" x14ac:dyDescent="0.15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</row>
    <row r="575" spans="1:26" ht="15.75" customHeight="1" x14ac:dyDescent="0.1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</row>
    <row r="576" spans="1:26" ht="15.75" customHeight="1" x14ac:dyDescent="0.15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</row>
    <row r="577" spans="1:26" ht="15.75" customHeight="1" x14ac:dyDescent="0.15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</row>
    <row r="578" spans="1:26" ht="15.75" customHeight="1" x14ac:dyDescent="0.15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</row>
    <row r="579" spans="1:26" ht="15.75" customHeight="1" x14ac:dyDescent="0.15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</row>
    <row r="580" spans="1:26" ht="15.75" customHeight="1" x14ac:dyDescent="0.15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</row>
    <row r="581" spans="1:26" ht="15.75" customHeight="1" x14ac:dyDescent="0.15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</row>
    <row r="582" spans="1:26" ht="15.75" customHeight="1" x14ac:dyDescent="0.15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</row>
    <row r="583" spans="1:26" ht="15.75" customHeight="1" x14ac:dyDescent="0.15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</row>
    <row r="584" spans="1:26" ht="15.75" customHeight="1" x14ac:dyDescent="0.15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</row>
    <row r="585" spans="1:26" ht="15.75" customHeight="1" x14ac:dyDescent="0.1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</row>
    <row r="586" spans="1:26" ht="15.75" customHeight="1" x14ac:dyDescent="0.15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</row>
    <row r="587" spans="1:26" ht="15.75" customHeight="1" x14ac:dyDescent="0.15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</row>
    <row r="588" spans="1:26" ht="15.75" customHeight="1" x14ac:dyDescent="0.15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</row>
    <row r="589" spans="1:26" ht="15.75" customHeight="1" x14ac:dyDescent="0.15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</row>
    <row r="590" spans="1:26" ht="15.75" customHeight="1" x14ac:dyDescent="0.15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</row>
    <row r="591" spans="1:26" ht="15.75" customHeight="1" x14ac:dyDescent="0.15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</row>
    <row r="592" spans="1:26" ht="15.75" customHeight="1" x14ac:dyDescent="0.15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</row>
    <row r="593" spans="1:26" ht="15.75" customHeight="1" x14ac:dyDescent="0.15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</row>
    <row r="594" spans="1:26" ht="15.75" customHeight="1" x14ac:dyDescent="0.15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</row>
    <row r="595" spans="1:26" ht="15.75" customHeight="1" x14ac:dyDescent="0.1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</row>
    <row r="596" spans="1:26" ht="15.75" customHeight="1" x14ac:dyDescent="0.15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</row>
    <row r="597" spans="1:26" ht="15.75" customHeight="1" x14ac:dyDescent="0.15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</row>
    <row r="598" spans="1:26" ht="15.75" customHeight="1" x14ac:dyDescent="0.15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</row>
    <row r="599" spans="1:26" ht="15.75" customHeight="1" x14ac:dyDescent="0.15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</row>
    <row r="600" spans="1:26" ht="15.75" customHeight="1" x14ac:dyDescent="0.15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</row>
    <row r="601" spans="1:26" ht="15.75" customHeight="1" x14ac:dyDescent="0.15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</row>
    <row r="602" spans="1:26" ht="15.75" customHeight="1" x14ac:dyDescent="0.15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</row>
    <row r="603" spans="1:26" ht="15.75" customHeight="1" x14ac:dyDescent="0.15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</row>
    <row r="604" spans="1:26" ht="15.75" customHeight="1" x14ac:dyDescent="0.15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</row>
    <row r="605" spans="1:26" ht="15.75" customHeight="1" x14ac:dyDescent="0.1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</row>
    <row r="606" spans="1:26" ht="15.75" customHeight="1" x14ac:dyDescent="0.15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</row>
    <row r="607" spans="1:26" ht="15.75" customHeight="1" x14ac:dyDescent="0.15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</row>
    <row r="608" spans="1:26" ht="15.75" customHeight="1" x14ac:dyDescent="0.15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</row>
    <row r="609" spans="1:26" ht="15.75" customHeight="1" x14ac:dyDescent="0.15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</row>
    <row r="610" spans="1:26" ht="15.75" customHeight="1" x14ac:dyDescent="0.15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</row>
    <row r="611" spans="1:26" ht="15.75" customHeight="1" x14ac:dyDescent="0.15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</row>
    <row r="612" spans="1:26" ht="15.75" customHeight="1" x14ac:dyDescent="0.15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</row>
    <row r="613" spans="1:26" ht="15.75" customHeight="1" x14ac:dyDescent="0.15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</row>
    <row r="614" spans="1:26" ht="15.75" customHeight="1" x14ac:dyDescent="0.15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</row>
    <row r="615" spans="1:26" ht="15.75" customHeight="1" x14ac:dyDescent="0.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</row>
    <row r="616" spans="1:26" ht="15.75" customHeight="1" x14ac:dyDescent="0.15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</row>
    <row r="617" spans="1:26" ht="15.75" customHeight="1" x14ac:dyDescent="0.15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</row>
    <row r="618" spans="1:26" ht="15.75" customHeight="1" x14ac:dyDescent="0.15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</row>
    <row r="619" spans="1:26" ht="15.75" customHeight="1" x14ac:dyDescent="0.15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</row>
    <row r="620" spans="1:26" ht="15.75" customHeight="1" x14ac:dyDescent="0.15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</row>
    <row r="621" spans="1:26" ht="15.75" customHeight="1" x14ac:dyDescent="0.15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</row>
    <row r="622" spans="1:26" ht="15.75" customHeight="1" x14ac:dyDescent="0.15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</row>
    <row r="623" spans="1:26" ht="15.75" customHeight="1" x14ac:dyDescent="0.15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</row>
    <row r="624" spans="1:26" ht="15.75" customHeight="1" x14ac:dyDescent="0.15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</row>
    <row r="625" spans="1:26" ht="15.75" customHeight="1" x14ac:dyDescent="0.1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</row>
    <row r="626" spans="1:26" ht="15.75" customHeight="1" x14ac:dyDescent="0.15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</row>
    <row r="627" spans="1:26" ht="15.75" customHeight="1" x14ac:dyDescent="0.15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</row>
    <row r="628" spans="1:26" ht="15.75" customHeight="1" x14ac:dyDescent="0.15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</row>
    <row r="629" spans="1:26" ht="15.75" customHeight="1" x14ac:dyDescent="0.15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</row>
    <row r="630" spans="1:26" ht="15.75" customHeight="1" x14ac:dyDescent="0.15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</row>
    <row r="631" spans="1:26" ht="15.75" customHeight="1" x14ac:dyDescent="0.15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</row>
    <row r="632" spans="1:26" ht="15.75" customHeight="1" x14ac:dyDescent="0.15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</row>
    <row r="633" spans="1:26" ht="15.75" customHeight="1" x14ac:dyDescent="0.15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</row>
    <row r="634" spans="1:26" ht="15.75" customHeight="1" x14ac:dyDescent="0.15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</row>
    <row r="635" spans="1:26" ht="15.75" customHeight="1" x14ac:dyDescent="0.1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</row>
    <row r="636" spans="1:26" ht="15.75" customHeight="1" x14ac:dyDescent="0.15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</row>
    <row r="637" spans="1:26" ht="15.75" customHeight="1" x14ac:dyDescent="0.15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</row>
    <row r="638" spans="1:26" ht="15.75" customHeight="1" x14ac:dyDescent="0.15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</row>
    <row r="639" spans="1:26" ht="15.75" customHeight="1" x14ac:dyDescent="0.15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</row>
    <row r="640" spans="1:26" ht="15.75" customHeight="1" x14ac:dyDescent="0.15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</row>
    <row r="641" spans="1:26" ht="15.75" customHeight="1" x14ac:dyDescent="0.15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</row>
    <row r="642" spans="1:26" ht="15.75" customHeight="1" x14ac:dyDescent="0.15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</row>
    <row r="643" spans="1:26" ht="15.75" customHeight="1" x14ac:dyDescent="0.15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</row>
    <row r="644" spans="1:26" ht="15.75" customHeight="1" x14ac:dyDescent="0.15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</row>
    <row r="645" spans="1:26" ht="15.75" customHeight="1" x14ac:dyDescent="0.1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</row>
    <row r="646" spans="1:26" ht="15.75" customHeight="1" x14ac:dyDescent="0.15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</row>
    <row r="647" spans="1:26" ht="15.75" customHeight="1" x14ac:dyDescent="0.15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</row>
    <row r="648" spans="1:26" ht="15.75" customHeight="1" x14ac:dyDescent="0.15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</row>
    <row r="649" spans="1:26" ht="15.75" customHeight="1" x14ac:dyDescent="0.15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</row>
    <row r="650" spans="1:26" ht="15.75" customHeight="1" x14ac:dyDescent="0.15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</row>
    <row r="651" spans="1:26" ht="15.75" customHeight="1" x14ac:dyDescent="0.15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</row>
    <row r="652" spans="1:26" ht="15.75" customHeight="1" x14ac:dyDescent="0.15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</row>
    <row r="653" spans="1:26" ht="15.75" customHeight="1" x14ac:dyDescent="0.15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</row>
    <row r="654" spans="1:26" ht="15.75" customHeight="1" x14ac:dyDescent="0.15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</row>
    <row r="655" spans="1:26" ht="15.75" customHeight="1" x14ac:dyDescent="0.1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</row>
    <row r="656" spans="1:26" ht="15.75" customHeight="1" x14ac:dyDescent="0.15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</row>
    <row r="657" spans="1:26" ht="15.75" customHeight="1" x14ac:dyDescent="0.15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</row>
    <row r="658" spans="1:26" ht="15.75" customHeight="1" x14ac:dyDescent="0.15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</row>
    <row r="659" spans="1:26" ht="15.75" customHeight="1" x14ac:dyDescent="0.15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</row>
    <row r="660" spans="1:26" ht="15.75" customHeight="1" x14ac:dyDescent="0.15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</row>
    <row r="661" spans="1:26" ht="15.75" customHeight="1" x14ac:dyDescent="0.15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</row>
    <row r="662" spans="1:26" ht="15.75" customHeight="1" x14ac:dyDescent="0.15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</row>
    <row r="663" spans="1:26" ht="15.75" customHeight="1" x14ac:dyDescent="0.15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</row>
    <row r="664" spans="1:26" ht="15.75" customHeight="1" x14ac:dyDescent="0.15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</row>
    <row r="665" spans="1:26" ht="15.75" customHeight="1" x14ac:dyDescent="0.1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</row>
    <row r="666" spans="1:26" ht="15.75" customHeight="1" x14ac:dyDescent="0.15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</row>
    <row r="667" spans="1:26" ht="15.75" customHeight="1" x14ac:dyDescent="0.15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</row>
    <row r="668" spans="1:26" ht="15.75" customHeight="1" x14ac:dyDescent="0.15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</row>
    <row r="669" spans="1:26" ht="15.75" customHeight="1" x14ac:dyDescent="0.15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</row>
    <row r="670" spans="1:26" ht="15.75" customHeight="1" x14ac:dyDescent="0.15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</row>
    <row r="671" spans="1:26" ht="15.75" customHeight="1" x14ac:dyDescent="0.15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</row>
    <row r="672" spans="1:26" ht="15.75" customHeight="1" x14ac:dyDescent="0.15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</row>
    <row r="673" spans="1:26" ht="15.75" customHeight="1" x14ac:dyDescent="0.15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</row>
    <row r="674" spans="1:26" ht="15.75" customHeight="1" x14ac:dyDescent="0.15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</row>
    <row r="675" spans="1:26" ht="15.75" customHeight="1" x14ac:dyDescent="0.1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</row>
    <row r="676" spans="1:26" ht="15.75" customHeight="1" x14ac:dyDescent="0.15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</row>
    <row r="677" spans="1:26" ht="15.75" customHeight="1" x14ac:dyDescent="0.15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</row>
    <row r="678" spans="1:26" ht="15.75" customHeight="1" x14ac:dyDescent="0.15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</row>
    <row r="679" spans="1:26" ht="15.75" customHeight="1" x14ac:dyDescent="0.15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</row>
    <row r="680" spans="1:26" ht="15.75" customHeight="1" x14ac:dyDescent="0.15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</row>
    <row r="681" spans="1:26" ht="15.75" customHeight="1" x14ac:dyDescent="0.15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</row>
    <row r="682" spans="1:26" ht="15.75" customHeight="1" x14ac:dyDescent="0.15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</row>
    <row r="683" spans="1:26" ht="15.75" customHeight="1" x14ac:dyDescent="0.15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</row>
    <row r="684" spans="1:26" ht="15.75" customHeight="1" x14ac:dyDescent="0.15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</row>
    <row r="685" spans="1:26" ht="15.75" customHeight="1" x14ac:dyDescent="0.1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</row>
    <row r="686" spans="1:26" ht="15.75" customHeight="1" x14ac:dyDescent="0.15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</row>
    <row r="687" spans="1:26" ht="15.75" customHeight="1" x14ac:dyDescent="0.15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</row>
    <row r="688" spans="1:26" ht="15.75" customHeight="1" x14ac:dyDescent="0.15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</row>
    <row r="689" spans="1:26" ht="15.75" customHeight="1" x14ac:dyDescent="0.15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</row>
    <row r="690" spans="1:26" ht="15.75" customHeight="1" x14ac:dyDescent="0.15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</row>
    <row r="691" spans="1:26" ht="15.75" customHeight="1" x14ac:dyDescent="0.15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</row>
    <row r="692" spans="1:26" ht="15.75" customHeight="1" x14ac:dyDescent="0.15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</row>
    <row r="693" spans="1:26" ht="15.75" customHeight="1" x14ac:dyDescent="0.15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</row>
    <row r="694" spans="1:26" ht="15.75" customHeight="1" x14ac:dyDescent="0.15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</row>
    <row r="695" spans="1:26" ht="15.75" customHeight="1" x14ac:dyDescent="0.1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</row>
    <row r="696" spans="1:26" ht="15.75" customHeight="1" x14ac:dyDescent="0.15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</row>
    <row r="697" spans="1:26" ht="15.75" customHeight="1" x14ac:dyDescent="0.15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</row>
    <row r="698" spans="1:26" ht="15.75" customHeight="1" x14ac:dyDescent="0.15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</row>
    <row r="699" spans="1:26" ht="15.75" customHeight="1" x14ac:dyDescent="0.15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</row>
    <row r="700" spans="1:26" ht="15.75" customHeight="1" x14ac:dyDescent="0.15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</row>
    <row r="701" spans="1:26" ht="15.75" customHeight="1" x14ac:dyDescent="0.15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</row>
    <row r="702" spans="1:26" ht="15.75" customHeight="1" x14ac:dyDescent="0.15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</row>
    <row r="703" spans="1:26" ht="15.75" customHeight="1" x14ac:dyDescent="0.15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</row>
    <row r="704" spans="1:26" ht="15.75" customHeight="1" x14ac:dyDescent="0.15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</row>
    <row r="705" spans="1:26" ht="15.75" customHeight="1" x14ac:dyDescent="0.1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</row>
    <row r="706" spans="1:26" ht="15.75" customHeight="1" x14ac:dyDescent="0.15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</row>
    <row r="707" spans="1:26" ht="15.75" customHeight="1" x14ac:dyDescent="0.15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</row>
    <row r="708" spans="1:26" ht="15.75" customHeight="1" x14ac:dyDescent="0.15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</row>
    <row r="709" spans="1:26" ht="15.75" customHeight="1" x14ac:dyDescent="0.15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</row>
    <row r="710" spans="1:26" ht="15.75" customHeight="1" x14ac:dyDescent="0.15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</row>
    <row r="711" spans="1:26" ht="15.75" customHeight="1" x14ac:dyDescent="0.15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</row>
    <row r="712" spans="1:26" ht="15.75" customHeight="1" x14ac:dyDescent="0.15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</row>
    <row r="713" spans="1:26" ht="15.75" customHeight="1" x14ac:dyDescent="0.15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</row>
    <row r="714" spans="1:26" ht="15.75" customHeight="1" x14ac:dyDescent="0.15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</row>
    <row r="715" spans="1:26" ht="15.75" customHeight="1" x14ac:dyDescent="0.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</row>
    <row r="716" spans="1:26" ht="15.75" customHeight="1" x14ac:dyDescent="0.15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</row>
    <row r="717" spans="1:26" ht="15.75" customHeight="1" x14ac:dyDescent="0.15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</row>
    <row r="718" spans="1:26" ht="15.75" customHeight="1" x14ac:dyDescent="0.15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</row>
    <row r="719" spans="1:26" ht="15.75" customHeight="1" x14ac:dyDescent="0.15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</row>
    <row r="720" spans="1:26" ht="15.75" customHeight="1" x14ac:dyDescent="0.15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</row>
    <row r="721" spans="1:26" ht="15.75" customHeight="1" x14ac:dyDescent="0.15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</row>
    <row r="722" spans="1:26" ht="15.75" customHeight="1" x14ac:dyDescent="0.15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</row>
    <row r="723" spans="1:26" ht="15.75" customHeight="1" x14ac:dyDescent="0.15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</row>
    <row r="724" spans="1:26" ht="15.75" customHeight="1" x14ac:dyDescent="0.15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</row>
    <row r="725" spans="1:26" ht="15.75" customHeight="1" x14ac:dyDescent="0.1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</row>
    <row r="726" spans="1:26" ht="15.75" customHeight="1" x14ac:dyDescent="0.15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</row>
    <row r="727" spans="1:26" ht="15.75" customHeight="1" x14ac:dyDescent="0.15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</row>
    <row r="728" spans="1:26" ht="15.75" customHeight="1" x14ac:dyDescent="0.15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</row>
    <row r="729" spans="1:26" ht="15.75" customHeight="1" x14ac:dyDescent="0.15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</row>
    <row r="730" spans="1:26" ht="15.75" customHeight="1" x14ac:dyDescent="0.15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</row>
    <row r="731" spans="1:26" ht="15.75" customHeight="1" x14ac:dyDescent="0.15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</row>
    <row r="732" spans="1:26" ht="15.75" customHeight="1" x14ac:dyDescent="0.15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</row>
    <row r="733" spans="1:26" ht="15.75" customHeight="1" x14ac:dyDescent="0.15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</row>
    <row r="734" spans="1:26" ht="15.75" customHeight="1" x14ac:dyDescent="0.15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</row>
    <row r="735" spans="1:26" ht="15.75" customHeight="1" x14ac:dyDescent="0.1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</row>
    <row r="736" spans="1:26" ht="15.75" customHeight="1" x14ac:dyDescent="0.15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</row>
    <row r="737" spans="1:26" ht="15.75" customHeight="1" x14ac:dyDescent="0.15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</row>
    <row r="738" spans="1:26" ht="15.75" customHeight="1" x14ac:dyDescent="0.15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</row>
    <row r="739" spans="1:26" ht="15.75" customHeight="1" x14ac:dyDescent="0.15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</row>
    <row r="740" spans="1:26" ht="15.75" customHeight="1" x14ac:dyDescent="0.15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</row>
    <row r="741" spans="1:26" ht="15.75" customHeight="1" x14ac:dyDescent="0.15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</row>
    <row r="742" spans="1:26" ht="15.75" customHeight="1" x14ac:dyDescent="0.15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</row>
    <row r="743" spans="1:26" ht="15.75" customHeight="1" x14ac:dyDescent="0.15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</row>
    <row r="744" spans="1:26" ht="15.75" customHeight="1" x14ac:dyDescent="0.15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</row>
    <row r="745" spans="1:26" ht="15.75" customHeight="1" x14ac:dyDescent="0.1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</row>
    <row r="746" spans="1:26" ht="15.75" customHeight="1" x14ac:dyDescent="0.15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</row>
    <row r="747" spans="1:26" ht="15.75" customHeight="1" x14ac:dyDescent="0.15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</row>
    <row r="748" spans="1:26" ht="15.75" customHeight="1" x14ac:dyDescent="0.15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</row>
    <row r="749" spans="1:26" ht="15.75" customHeight="1" x14ac:dyDescent="0.15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</row>
    <row r="750" spans="1:26" ht="15.75" customHeight="1" x14ac:dyDescent="0.15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</row>
    <row r="751" spans="1:26" ht="15.75" customHeight="1" x14ac:dyDescent="0.15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</row>
    <row r="752" spans="1:26" ht="15.75" customHeight="1" x14ac:dyDescent="0.15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</row>
    <row r="753" spans="1:26" ht="15.75" customHeight="1" x14ac:dyDescent="0.15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</row>
    <row r="754" spans="1:26" ht="15.75" customHeight="1" x14ac:dyDescent="0.15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</row>
    <row r="755" spans="1:26" ht="15.75" customHeight="1" x14ac:dyDescent="0.1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</row>
    <row r="756" spans="1:26" ht="15.75" customHeight="1" x14ac:dyDescent="0.15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</row>
    <row r="757" spans="1:26" ht="15.75" customHeight="1" x14ac:dyDescent="0.15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</row>
    <row r="758" spans="1:26" ht="15.75" customHeight="1" x14ac:dyDescent="0.15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</row>
    <row r="759" spans="1:26" ht="15.75" customHeight="1" x14ac:dyDescent="0.15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</row>
    <row r="760" spans="1:26" ht="15.75" customHeight="1" x14ac:dyDescent="0.15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</row>
    <row r="761" spans="1:26" ht="15.75" customHeight="1" x14ac:dyDescent="0.15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</row>
    <row r="762" spans="1:26" ht="15.75" customHeight="1" x14ac:dyDescent="0.15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</row>
    <row r="763" spans="1:26" ht="15.75" customHeight="1" x14ac:dyDescent="0.15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</row>
    <row r="764" spans="1:26" ht="15.75" customHeight="1" x14ac:dyDescent="0.15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</row>
    <row r="765" spans="1:26" ht="15.75" customHeight="1" x14ac:dyDescent="0.1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</row>
    <row r="766" spans="1:26" ht="15.75" customHeight="1" x14ac:dyDescent="0.15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</row>
    <row r="767" spans="1:26" ht="15.75" customHeight="1" x14ac:dyDescent="0.15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</row>
    <row r="768" spans="1:26" ht="15.75" customHeight="1" x14ac:dyDescent="0.15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</row>
    <row r="769" spans="1:26" ht="15.75" customHeight="1" x14ac:dyDescent="0.15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</row>
    <row r="770" spans="1:26" ht="15.75" customHeight="1" x14ac:dyDescent="0.15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</row>
    <row r="771" spans="1:26" ht="15.75" customHeight="1" x14ac:dyDescent="0.15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</row>
    <row r="772" spans="1:26" ht="15.75" customHeight="1" x14ac:dyDescent="0.15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</row>
    <row r="773" spans="1:26" ht="15.75" customHeight="1" x14ac:dyDescent="0.15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</row>
    <row r="774" spans="1:26" ht="15.75" customHeight="1" x14ac:dyDescent="0.15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</row>
    <row r="775" spans="1:26" ht="15.75" customHeight="1" x14ac:dyDescent="0.1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</row>
    <row r="776" spans="1:26" ht="15.75" customHeight="1" x14ac:dyDescent="0.15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</row>
    <row r="777" spans="1:26" ht="15.75" customHeight="1" x14ac:dyDescent="0.15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</row>
    <row r="778" spans="1:26" ht="15.75" customHeight="1" x14ac:dyDescent="0.15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</row>
    <row r="779" spans="1:26" ht="15.75" customHeight="1" x14ac:dyDescent="0.15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</row>
    <row r="780" spans="1:26" ht="15.75" customHeight="1" x14ac:dyDescent="0.15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</row>
    <row r="781" spans="1:26" ht="15.75" customHeight="1" x14ac:dyDescent="0.15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</row>
    <row r="782" spans="1:26" ht="15.75" customHeight="1" x14ac:dyDescent="0.15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</row>
    <row r="783" spans="1:26" ht="15.75" customHeight="1" x14ac:dyDescent="0.15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</row>
    <row r="784" spans="1:26" ht="15.75" customHeight="1" x14ac:dyDescent="0.15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</row>
    <row r="785" spans="1:26" ht="15.75" customHeight="1" x14ac:dyDescent="0.1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</row>
    <row r="786" spans="1:26" ht="15.75" customHeight="1" x14ac:dyDescent="0.15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</row>
    <row r="787" spans="1:26" ht="15.75" customHeight="1" x14ac:dyDescent="0.15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</row>
    <row r="788" spans="1:26" ht="15.75" customHeight="1" x14ac:dyDescent="0.15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</row>
    <row r="789" spans="1:26" ht="15.75" customHeight="1" x14ac:dyDescent="0.15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</row>
    <row r="790" spans="1:26" ht="15.75" customHeight="1" x14ac:dyDescent="0.15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</row>
    <row r="791" spans="1:26" ht="15.75" customHeight="1" x14ac:dyDescent="0.15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</row>
    <row r="792" spans="1:26" ht="15.75" customHeight="1" x14ac:dyDescent="0.15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</row>
    <row r="793" spans="1:26" ht="15.75" customHeight="1" x14ac:dyDescent="0.15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</row>
    <row r="794" spans="1:26" ht="15.75" customHeight="1" x14ac:dyDescent="0.15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</row>
    <row r="795" spans="1:26" ht="15.75" customHeight="1" x14ac:dyDescent="0.1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</row>
    <row r="796" spans="1:26" ht="15.75" customHeight="1" x14ac:dyDescent="0.15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</row>
    <row r="797" spans="1:26" ht="15.75" customHeight="1" x14ac:dyDescent="0.15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</row>
    <row r="798" spans="1:26" ht="15.75" customHeight="1" x14ac:dyDescent="0.15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</row>
    <row r="799" spans="1:26" ht="15.75" customHeight="1" x14ac:dyDescent="0.15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</row>
    <row r="800" spans="1:26" ht="15.75" customHeight="1" x14ac:dyDescent="0.15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</row>
    <row r="801" spans="1:26" ht="15.75" customHeight="1" x14ac:dyDescent="0.15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</row>
    <row r="802" spans="1:26" ht="15.75" customHeight="1" x14ac:dyDescent="0.15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</row>
    <row r="803" spans="1:26" ht="15.75" customHeight="1" x14ac:dyDescent="0.15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</row>
    <row r="804" spans="1:26" ht="15.75" customHeight="1" x14ac:dyDescent="0.15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</row>
    <row r="805" spans="1:26" ht="15.75" customHeight="1" x14ac:dyDescent="0.1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</row>
    <row r="806" spans="1:26" ht="15.75" customHeight="1" x14ac:dyDescent="0.15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</row>
    <row r="807" spans="1:26" ht="15.75" customHeight="1" x14ac:dyDescent="0.15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</row>
    <row r="808" spans="1:26" ht="15.75" customHeight="1" x14ac:dyDescent="0.15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</row>
    <row r="809" spans="1:26" ht="15.75" customHeight="1" x14ac:dyDescent="0.15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</row>
    <row r="810" spans="1:26" ht="15.75" customHeight="1" x14ac:dyDescent="0.15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</row>
    <row r="811" spans="1:26" ht="15.75" customHeight="1" x14ac:dyDescent="0.15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</row>
    <row r="812" spans="1:26" ht="15.75" customHeight="1" x14ac:dyDescent="0.15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</row>
    <row r="813" spans="1:26" ht="15.75" customHeight="1" x14ac:dyDescent="0.15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</row>
    <row r="814" spans="1:26" ht="15.75" customHeight="1" x14ac:dyDescent="0.15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</row>
    <row r="815" spans="1:26" ht="15.75" customHeight="1" x14ac:dyDescent="0.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</row>
    <row r="816" spans="1:26" ht="15.75" customHeight="1" x14ac:dyDescent="0.15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</row>
    <row r="817" spans="1:26" ht="15.75" customHeight="1" x14ac:dyDescent="0.15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</row>
    <row r="818" spans="1:26" ht="15.75" customHeight="1" x14ac:dyDescent="0.15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</row>
    <row r="819" spans="1:26" ht="15.75" customHeight="1" x14ac:dyDescent="0.15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</row>
    <row r="820" spans="1:26" ht="15.75" customHeight="1" x14ac:dyDescent="0.15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</row>
    <row r="821" spans="1:26" ht="15.75" customHeight="1" x14ac:dyDescent="0.15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</row>
    <row r="822" spans="1:26" ht="15.75" customHeight="1" x14ac:dyDescent="0.15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</row>
    <row r="823" spans="1:26" ht="15.75" customHeight="1" x14ac:dyDescent="0.15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</row>
    <row r="824" spans="1:26" ht="15.75" customHeight="1" x14ac:dyDescent="0.15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</row>
    <row r="825" spans="1:26" ht="15.75" customHeight="1" x14ac:dyDescent="0.1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</row>
    <row r="826" spans="1:26" ht="15.75" customHeight="1" x14ac:dyDescent="0.15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</row>
    <row r="827" spans="1:26" ht="15.75" customHeight="1" x14ac:dyDescent="0.15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</row>
    <row r="828" spans="1:26" ht="15.75" customHeight="1" x14ac:dyDescent="0.15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</row>
    <row r="829" spans="1:26" ht="15.75" customHeight="1" x14ac:dyDescent="0.15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</row>
    <row r="830" spans="1:26" ht="15.75" customHeight="1" x14ac:dyDescent="0.15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</row>
    <row r="831" spans="1:26" ht="15.75" customHeight="1" x14ac:dyDescent="0.15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</row>
    <row r="832" spans="1:26" ht="15.75" customHeight="1" x14ac:dyDescent="0.15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</row>
    <row r="833" spans="1:26" ht="15.75" customHeight="1" x14ac:dyDescent="0.15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</row>
    <row r="834" spans="1:26" ht="15.75" customHeight="1" x14ac:dyDescent="0.15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</row>
    <row r="835" spans="1:26" ht="15.75" customHeight="1" x14ac:dyDescent="0.1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</row>
    <row r="836" spans="1:26" ht="15.75" customHeight="1" x14ac:dyDescent="0.15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</row>
    <row r="837" spans="1:26" ht="15.75" customHeight="1" x14ac:dyDescent="0.15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</row>
    <row r="838" spans="1:26" ht="15.75" customHeight="1" x14ac:dyDescent="0.15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</row>
    <row r="839" spans="1:26" ht="15.75" customHeight="1" x14ac:dyDescent="0.15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</row>
    <row r="840" spans="1:26" ht="15.75" customHeight="1" x14ac:dyDescent="0.15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</row>
    <row r="841" spans="1:26" ht="15.75" customHeight="1" x14ac:dyDescent="0.15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</row>
    <row r="842" spans="1:26" ht="15.75" customHeight="1" x14ac:dyDescent="0.15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</row>
    <row r="843" spans="1:26" ht="15.75" customHeight="1" x14ac:dyDescent="0.15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</row>
    <row r="844" spans="1:26" ht="15.75" customHeight="1" x14ac:dyDescent="0.15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</row>
    <row r="845" spans="1:26" ht="15.75" customHeight="1" x14ac:dyDescent="0.1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</row>
    <row r="846" spans="1:26" ht="15.75" customHeight="1" x14ac:dyDescent="0.15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</row>
    <row r="847" spans="1:26" ht="15.75" customHeight="1" x14ac:dyDescent="0.15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</row>
    <row r="848" spans="1:26" ht="15.75" customHeight="1" x14ac:dyDescent="0.15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</row>
    <row r="849" spans="1:26" ht="15.75" customHeight="1" x14ac:dyDescent="0.15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</row>
    <row r="850" spans="1:26" ht="15.75" customHeight="1" x14ac:dyDescent="0.15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</row>
    <row r="851" spans="1:26" ht="15.75" customHeight="1" x14ac:dyDescent="0.15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</row>
    <row r="852" spans="1:26" ht="15.75" customHeight="1" x14ac:dyDescent="0.15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</row>
    <row r="853" spans="1:26" ht="15.75" customHeight="1" x14ac:dyDescent="0.15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</row>
    <row r="854" spans="1:26" ht="15.75" customHeight="1" x14ac:dyDescent="0.15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</row>
    <row r="855" spans="1:26" ht="15.75" customHeight="1" x14ac:dyDescent="0.1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</row>
    <row r="856" spans="1:26" ht="15.75" customHeight="1" x14ac:dyDescent="0.15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</row>
    <row r="857" spans="1:26" ht="15.75" customHeight="1" x14ac:dyDescent="0.15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</row>
    <row r="858" spans="1:26" ht="15.75" customHeight="1" x14ac:dyDescent="0.15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</row>
    <row r="859" spans="1:26" ht="15.75" customHeight="1" x14ac:dyDescent="0.15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</row>
    <row r="860" spans="1:26" ht="15.75" customHeight="1" x14ac:dyDescent="0.15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</row>
    <row r="861" spans="1:26" ht="15.75" customHeight="1" x14ac:dyDescent="0.15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</row>
    <row r="862" spans="1:26" ht="15.75" customHeight="1" x14ac:dyDescent="0.15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</row>
    <row r="863" spans="1:26" ht="15.75" customHeight="1" x14ac:dyDescent="0.15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</row>
    <row r="864" spans="1:26" ht="15.75" customHeight="1" x14ac:dyDescent="0.15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</row>
    <row r="865" spans="1:26" ht="15.75" customHeight="1" x14ac:dyDescent="0.1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</row>
    <row r="866" spans="1:26" ht="15.75" customHeight="1" x14ac:dyDescent="0.15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</row>
    <row r="867" spans="1:26" ht="15.75" customHeight="1" x14ac:dyDescent="0.15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</row>
    <row r="868" spans="1:26" ht="15.75" customHeight="1" x14ac:dyDescent="0.15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</row>
    <row r="869" spans="1:26" ht="15.75" customHeight="1" x14ac:dyDescent="0.15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</row>
    <row r="870" spans="1:26" ht="15.75" customHeight="1" x14ac:dyDescent="0.15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</row>
    <row r="871" spans="1:26" ht="15.75" customHeight="1" x14ac:dyDescent="0.15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</row>
    <row r="872" spans="1:26" ht="15.75" customHeight="1" x14ac:dyDescent="0.15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</row>
    <row r="873" spans="1:26" ht="15.75" customHeight="1" x14ac:dyDescent="0.15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</row>
    <row r="874" spans="1:26" ht="15.75" customHeight="1" x14ac:dyDescent="0.15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</row>
    <row r="875" spans="1:26" ht="15.75" customHeight="1" x14ac:dyDescent="0.1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</row>
    <row r="876" spans="1:26" ht="15.75" customHeight="1" x14ac:dyDescent="0.15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</row>
    <row r="877" spans="1:26" ht="15.75" customHeight="1" x14ac:dyDescent="0.15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</row>
    <row r="878" spans="1:26" ht="15.75" customHeight="1" x14ac:dyDescent="0.15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</row>
    <row r="879" spans="1:26" ht="15.75" customHeight="1" x14ac:dyDescent="0.15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</row>
    <row r="880" spans="1:26" ht="15.75" customHeight="1" x14ac:dyDescent="0.15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</row>
    <row r="881" spans="1:26" ht="15.75" customHeight="1" x14ac:dyDescent="0.15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</row>
    <row r="882" spans="1:26" ht="15.75" customHeight="1" x14ac:dyDescent="0.15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</row>
    <row r="883" spans="1:26" ht="15.75" customHeight="1" x14ac:dyDescent="0.15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</row>
    <row r="884" spans="1:26" ht="15.75" customHeight="1" x14ac:dyDescent="0.15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</row>
    <row r="885" spans="1:26" ht="15.75" customHeight="1" x14ac:dyDescent="0.1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</row>
    <row r="886" spans="1:26" ht="15.75" customHeight="1" x14ac:dyDescent="0.15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</row>
    <row r="887" spans="1:26" ht="15.75" customHeight="1" x14ac:dyDescent="0.15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</row>
    <row r="888" spans="1:26" ht="15.75" customHeight="1" x14ac:dyDescent="0.15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</row>
    <row r="889" spans="1:26" ht="15.75" customHeight="1" x14ac:dyDescent="0.15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</row>
    <row r="890" spans="1:26" ht="15.75" customHeight="1" x14ac:dyDescent="0.15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</row>
    <row r="891" spans="1:26" ht="15.75" customHeight="1" x14ac:dyDescent="0.15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</row>
    <row r="892" spans="1:26" ht="15.75" customHeight="1" x14ac:dyDescent="0.15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</row>
    <row r="893" spans="1:26" ht="15.75" customHeight="1" x14ac:dyDescent="0.15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</row>
    <row r="894" spans="1:26" ht="15.75" customHeight="1" x14ac:dyDescent="0.15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</row>
    <row r="895" spans="1:26" ht="15.75" customHeight="1" x14ac:dyDescent="0.1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</row>
    <row r="896" spans="1:26" ht="15.75" customHeight="1" x14ac:dyDescent="0.15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</row>
    <row r="897" spans="1:26" ht="15.75" customHeight="1" x14ac:dyDescent="0.15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</row>
    <row r="898" spans="1:26" ht="15.75" customHeight="1" x14ac:dyDescent="0.15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</row>
    <row r="899" spans="1:26" ht="15.75" customHeight="1" x14ac:dyDescent="0.15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</row>
    <row r="900" spans="1:26" ht="15.75" customHeight="1" x14ac:dyDescent="0.15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</row>
    <row r="901" spans="1:26" ht="15.75" customHeight="1" x14ac:dyDescent="0.15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</row>
    <row r="902" spans="1:26" ht="15.75" customHeight="1" x14ac:dyDescent="0.15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</row>
    <row r="903" spans="1:26" ht="15.75" customHeight="1" x14ac:dyDescent="0.15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</row>
    <row r="904" spans="1:26" ht="15.75" customHeight="1" x14ac:dyDescent="0.15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</row>
    <row r="905" spans="1:26" ht="15.75" customHeight="1" x14ac:dyDescent="0.1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</row>
    <row r="906" spans="1:26" ht="15.75" customHeight="1" x14ac:dyDescent="0.15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</row>
    <row r="907" spans="1:26" ht="15.75" customHeight="1" x14ac:dyDescent="0.15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</row>
    <row r="908" spans="1:26" ht="15.75" customHeight="1" x14ac:dyDescent="0.15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</row>
    <row r="909" spans="1:26" ht="15.75" customHeight="1" x14ac:dyDescent="0.15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</row>
    <row r="910" spans="1:26" ht="15.75" customHeight="1" x14ac:dyDescent="0.15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</row>
    <row r="911" spans="1:26" ht="15.75" customHeight="1" x14ac:dyDescent="0.15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</row>
    <row r="912" spans="1:26" ht="15.75" customHeight="1" x14ac:dyDescent="0.15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</row>
    <row r="913" spans="1:26" ht="15.75" customHeight="1" x14ac:dyDescent="0.15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</row>
    <row r="914" spans="1:26" ht="15.75" customHeight="1" x14ac:dyDescent="0.15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</row>
    <row r="915" spans="1:26" ht="15.75" customHeight="1" x14ac:dyDescent="0.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</row>
    <row r="916" spans="1:26" ht="15.75" customHeight="1" x14ac:dyDescent="0.15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</row>
    <row r="917" spans="1:26" ht="15.75" customHeight="1" x14ac:dyDescent="0.15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</row>
    <row r="918" spans="1:26" ht="15.75" customHeight="1" x14ac:dyDescent="0.15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</row>
    <row r="919" spans="1:26" ht="15.75" customHeight="1" x14ac:dyDescent="0.15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</row>
    <row r="920" spans="1:26" ht="15.75" customHeight="1" x14ac:dyDescent="0.15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</row>
    <row r="921" spans="1:26" ht="15.75" customHeight="1" x14ac:dyDescent="0.15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</row>
    <row r="922" spans="1:26" ht="15.75" customHeight="1" x14ac:dyDescent="0.15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</row>
    <row r="923" spans="1:26" ht="15.75" customHeight="1" x14ac:dyDescent="0.15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</row>
    <row r="924" spans="1:26" ht="15.75" customHeight="1" x14ac:dyDescent="0.15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</row>
    <row r="925" spans="1:26" ht="15.75" customHeight="1" x14ac:dyDescent="0.1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</row>
    <row r="926" spans="1:26" ht="15.75" customHeight="1" x14ac:dyDescent="0.15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</row>
    <row r="927" spans="1:26" ht="15.75" customHeight="1" x14ac:dyDescent="0.15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</row>
    <row r="928" spans="1:26" ht="15.75" customHeight="1" x14ac:dyDescent="0.15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</row>
    <row r="929" spans="1:26" ht="15.75" customHeight="1" x14ac:dyDescent="0.15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</row>
    <row r="930" spans="1:26" ht="15.75" customHeight="1" x14ac:dyDescent="0.15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</row>
    <row r="931" spans="1:26" ht="15.75" customHeight="1" x14ac:dyDescent="0.15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</row>
    <row r="932" spans="1:26" ht="15.75" customHeight="1" x14ac:dyDescent="0.15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</row>
    <row r="933" spans="1:26" ht="15.75" customHeight="1" x14ac:dyDescent="0.15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</row>
    <row r="934" spans="1:26" ht="15.75" customHeight="1" x14ac:dyDescent="0.15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</row>
    <row r="935" spans="1:26" ht="15.75" customHeight="1" x14ac:dyDescent="0.1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</row>
    <row r="936" spans="1:26" ht="15.75" customHeight="1" x14ac:dyDescent="0.15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</row>
    <row r="937" spans="1:26" ht="15.75" customHeight="1" x14ac:dyDescent="0.15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</row>
    <row r="938" spans="1:26" ht="15.75" customHeight="1" x14ac:dyDescent="0.15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</row>
    <row r="939" spans="1:26" ht="15.75" customHeight="1" x14ac:dyDescent="0.15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</row>
    <row r="940" spans="1:26" ht="15.75" customHeight="1" x14ac:dyDescent="0.15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</row>
    <row r="941" spans="1:26" ht="15.75" customHeight="1" x14ac:dyDescent="0.15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</row>
    <row r="942" spans="1:26" ht="15.75" customHeight="1" x14ac:dyDescent="0.15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</row>
    <row r="943" spans="1:26" ht="15.75" customHeight="1" x14ac:dyDescent="0.15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</row>
    <row r="944" spans="1:26" ht="15.75" customHeight="1" x14ac:dyDescent="0.15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</row>
    <row r="945" spans="1:26" ht="15.75" customHeight="1" x14ac:dyDescent="0.1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</row>
    <row r="946" spans="1:26" ht="15.75" customHeight="1" x14ac:dyDescent="0.15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</row>
    <row r="947" spans="1:26" ht="15.75" customHeight="1" x14ac:dyDescent="0.15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</row>
    <row r="948" spans="1:26" ht="15.75" customHeight="1" x14ac:dyDescent="0.15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</row>
    <row r="949" spans="1:26" ht="15.75" customHeight="1" x14ac:dyDescent="0.15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</row>
    <row r="950" spans="1:26" ht="15.75" customHeight="1" x14ac:dyDescent="0.15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</row>
    <row r="951" spans="1:26" ht="15.75" customHeight="1" x14ac:dyDescent="0.15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</row>
    <row r="952" spans="1:26" ht="15.75" customHeight="1" x14ac:dyDescent="0.15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</row>
    <row r="953" spans="1:26" ht="15.75" customHeight="1" x14ac:dyDescent="0.15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</row>
    <row r="954" spans="1:26" ht="15.75" customHeight="1" x14ac:dyDescent="0.15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</row>
    <row r="955" spans="1:26" ht="15.75" customHeight="1" x14ac:dyDescent="0.1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</row>
    <row r="956" spans="1:26" ht="15.75" customHeight="1" x14ac:dyDescent="0.15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</row>
    <row r="957" spans="1:26" ht="15.75" customHeight="1" x14ac:dyDescent="0.15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</row>
    <row r="958" spans="1:26" ht="15.75" customHeight="1" x14ac:dyDescent="0.15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</row>
    <row r="959" spans="1:26" ht="15.75" customHeight="1" x14ac:dyDescent="0.15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</row>
    <row r="960" spans="1:26" ht="15.75" customHeight="1" x14ac:dyDescent="0.15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</row>
    <row r="961" spans="1:26" ht="15.75" customHeight="1" x14ac:dyDescent="0.15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</row>
    <row r="962" spans="1:26" ht="15.75" customHeight="1" x14ac:dyDescent="0.15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</row>
    <row r="963" spans="1:26" ht="15.75" customHeight="1" x14ac:dyDescent="0.15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</row>
    <row r="964" spans="1:26" ht="15.75" customHeight="1" x14ac:dyDescent="0.15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</row>
    <row r="965" spans="1:26" ht="15.75" customHeight="1" x14ac:dyDescent="0.1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</row>
    <row r="966" spans="1:26" ht="15.75" customHeight="1" x14ac:dyDescent="0.15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</row>
    <row r="967" spans="1:26" ht="15.75" customHeight="1" x14ac:dyDescent="0.15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</row>
    <row r="968" spans="1:26" ht="15.75" customHeight="1" x14ac:dyDescent="0.15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</row>
    <row r="969" spans="1:26" ht="15.75" customHeight="1" x14ac:dyDescent="0.15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</row>
    <row r="970" spans="1:26" ht="15.75" customHeight="1" x14ac:dyDescent="0.15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</row>
    <row r="971" spans="1:26" ht="15.75" customHeight="1" x14ac:dyDescent="0.15"/>
    <row r="972" spans="1:26" ht="15.75" customHeight="1" x14ac:dyDescent="0.15"/>
    <row r="973" spans="1:26" ht="15.75" customHeight="1" x14ac:dyDescent="0.15"/>
    <row r="974" spans="1:26" ht="15.75" customHeight="1" x14ac:dyDescent="0.15"/>
    <row r="975" spans="1:26" ht="15.75" customHeight="1" x14ac:dyDescent="0.15"/>
    <row r="976" spans="1:2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</sheetData>
  <mergeCells count="28">
    <mergeCell ref="B32:D32"/>
    <mergeCell ref="B33:D33"/>
    <mergeCell ref="A6:B6"/>
    <mergeCell ref="C6:E6"/>
    <mergeCell ref="F6:K6"/>
    <mergeCell ref="A7:B7"/>
    <mergeCell ref="C7:E7"/>
    <mergeCell ref="F7:K7"/>
    <mergeCell ref="O6:T6"/>
    <mergeCell ref="O7:T7"/>
    <mergeCell ref="B28:D28"/>
    <mergeCell ref="B30:D30"/>
    <mergeCell ref="B31:D31"/>
    <mergeCell ref="L6:N6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10:H17 G18:H18 F19:G19 F20:H27 F28:G28 F29:H29" xr:uid="{00000000-0002-0000-0400-000000000000}">
      <formula1>"O"</formula1>
    </dataValidation>
    <dataValidation type="list" allowBlank="1" showInputMessage="1" showErrorMessage="1" prompt=" - " sqref="F30:H30" xr:uid="{00000000-0002-0000-0400-000001000000}">
      <formula1>"N,A,B"</formula1>
    </dataValidation>
    <dataValidation type="list" allowBlank="1" showInputMessage="1" showErrorMessage="1" prompt=" - " sqref="F31:H31" xr:uid="{00000000-0002-0000-04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25" defaultRowHeight="15" customHeight="1" x14ac:dyDescent="0.15"/>
  <cols>
    <col min="1" max="1" width="8.25" customWidth="1"/>
    <col min="2" max="2" width="13.375" customWidth="1"/>
    <col min="3" max="3" width="10.75" customWidth="1"/>
    <col min="4" max="4" width="13.625" customWidth="1"/>
    <col min="5" max="5" width="1.75" hidden="1" customWidth="1"/>
    <col min="6" max="6" width="5.875" customWidth="1"/>
    <col min="7" max="7" width="5.25" customWidth="1"/>
    <col min="8" max="8" width="5.125" customWidth="1"/>
    <col min="9" max="9" width="5.25" customWidth="1"/>
    <col min="10" max="10" width="4.75" customWidth="1"/>
    <col min="11" max="11" width="5" customWidth="1"/>
    <col min="12" max="12" width="5.875" customWidth="1"/>
    <col min="13" max="13" width="5.375" customWidth="1"/>
    <col min="14" max="14" width="6" customWidth="1"/>
    <col min="15" max="15" width="6.375" customWidth="1"/>
    <col min="16" max="16" width="5.75" customWidth="1"/>
    <col min="17" max="17" width="5.625" customWidth="1"/>
    <col min="18" max="18" width="5.875" customWidth="1"/>
    <col min="19" max="19" width="7" customWidth="1"/>
    <col min="20" max="20" width="6.875" customWidth="1"/>
    <col min="21" max="21" width="2.875" customWidth="1"/>
    <col min="22" max="23" width="9" customWidth="1"/>
    <col min="24" max="26" width="8" customWidth="1"/>
  </cols>
  <sheetData>
    <row r="1" spans="1:26" ht="22.5" customHeight="1" x14ac:dyDescent="0.15">
      <c r="A1" s="171"/>
      <c r="B1" s="172"/>
      <c r="C1" s="171"/>
      <c r="D1" s="173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spans="1:26" ht="15" customHeight="1" x14ac:dyDescent="0.15">
      <c r="A2" s="312" t="s">
        <v>106</v>
      </c>
      <c r="B2" s="277"/>
      <c r="C2" s="313" t="str">
        <f>FunctionList!E12</f>
        <v>Update Profile</v>
      </c>
      <c r="D2" s="277"/>
      <c r="E2" s="174"/>
      <c r="F2" s="314" t="s">
        <v>77</v>
      </c>
      <c r="G2" s="276"/>
      <c r="H2" s="276"/>
      <c r="I2" s="276"/>
      <c r="J2" s="276"/>
      <c r="K2" s="277"/>
      <c r="L2" s="313" t="str">
        <f>FunctionList!D12</f>
        <v>Update Profile</v>
      </c>
      <c r="M2" s="276"/>
      <c r="N2" s="276"/>
      <c r="O2" s="276"/>
      <c r="P2" s="276"/>
      <c r="Q2" s="276"/>
      <c r="R2" s="276"/>
      <c r="S2" s="276"/>
      <c r="T2" s="282"/>
      <c r="U2" s="171"/>
      <c r="V2" s="171"/>
      <c r="W2" s="171"/>
      <c r="X2" s="171"/>
      <c r="Y2" s="171"/>
      <c r="Z2" s="171"/>
    </row>
    <row r="3" spans="1:26" ht="13.5" customHeight="1" x14ac:dyDescent="0.15">
      <c r="A3" s="318" t="s">
        <v>107</v>
      </c>
      <c r="B3" s="285"/>
      <c r="C3" s="315" t="s">
        <v>49</v>
      </c>
      <c r="D3" s="284"/>
      <c r="E3" s="285"/>
      <c r="F3" s="316" t="s">
        <v>108</v>
      </c>
      <c r="G3" s="284"/>
      <c r="H3" s="284"/>
      <c r="I3" s="284"/>
      <c r="J3" s="284"/>
      <c r="K3" s="285"/>
      <c r="L3" s="317" t="s">
        <v>49</v>
      </c>
      <c r="M3" s="284"/>
      <c r="N3" s="284"/>
      <c r="O3" s="175"/>
      <c r="P3" s="175"/>
      <c r="Q3" s="175"/>
      <c r="R3" s="175"/>
      <c r="S3" s="175"/>
      <c r="T3" s="176"/>
      <c r="U3" s="171"/>
      <c r="V3" s="171"/>
      <c r="W3" s="171"/>
      <c r="X3" s="171"/>
      <c r="Y3" s="171"/>
      <c r="Z3" s="171"/>
    </row>
    <row r="4" spans="1:26" ht="13.5" customHeight="1" x14ac:dyDescent="0.15">
      <c r="A4" s="319" t="s">
        <v>109</v>
      </c>
      <c r="B4" s="252"/>
      <c r="C4" s="290">
        <v>300</v>
      </c>
      <c r="D4" s="251"/>
      <c r="E4" s="177"/>
      <c r="F4" s="320" t="s">
        <v>110</v>
      </c>
      <c r="G4" s="251"/>
      <c r="H4" s="251"/>
      <c r="I4" s="251"/>
      <c r="J4" s="251"/>
      <c r="K4" s="252"/>
      <c r="L4" s="292">
        <f>IF(FunctionList!E6&lt;&gt;"N/A",SUM(C4*FunctionList!E6/1000,-O7),"N/A")</f>
        <v>-1.3000000000000007</v>
      </c>
      <c r="M4" s="251"/>
      <c r="N4" s="251"/>
      <c r="O4" s="251"/>
      <c r="P4" s="251"/>
      <c r="Q4" s="251"/>
      <c r="R4" s="251"/>
      <c r="S4" s="251"/>
      <c r="T4" s="293"/>
      <c r="U4" s="171"/>
      <c r="V4" s="178"/>
      <c r="W4" s="171"/>
      <c r="X4" s="171"/>
      <c r="Y4" s="171"/>
      <c r="Z4" s="171"/>
    </row>
    <row r="5" spans="1:26" ht="13.5" customHeight="1" x14ac:dyDescent="0.15">
      <c r="A5" s="319" t="s">
        <v>111</v>
      </c>
      <c r="B5" s="252"/>
      <c r="C5" s="321" t="s">
        <v>140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93"/>
      <c r="U5" s="171"/>
      <c r="V5" s="171"/>
      <c r="W5" s="171"/>
      <c r="X5" s="171"/>
      <c r="Y5" s="171"/>
      <c r="Z5" s="171"/>
    </row>
    <row r="6" spans="1:26" ht="13.5" customHeight="1" x14ac:dyDescent="0.15">
      <c r="A6" s="308" t="s">
        <v>92</v>
      </c>
      <c r="B6" s="252"/>
      <c r="C6" s="295" t="s">
        <v>93</v>
      </c>
      <c r="D6" s="251"/>
      <c r="E6" s="252"/>
      <c r="F6" s="295" t="s">
        <v>94</v>
      </c>
      <c r="G6" s="251"/>
      <c r="H6" s="251"/>
      <c r="I6" s="251"/>
      <c r="J6" s="251"/>
      <c r="K6" s="252"/>
      <c r="L6" s="309" t="s">
        <v>112</v>
      </c>
      <c r="M6" s="251"/>
      <c r="N6" s="251"/>
      <c r="O6" s="295" t="s">
        <v>97</v>
      </c>
      <c r="P6" s="251"/>
      <c r="Q6" s="251"/>
      <c r="R6" s="251"/>
      <c r="S6" s="251"/>
      <c r="T6" s="293"/>
      <c r="U6" s="171"/>
      <c r="V6" s="178"/>
      <c r="W6" s="171"/>
      <c r="X6" s="171"/>
      <c r="Y6" s="171"/>
      <c r="Z6" s="171"/>
    </row>
    <row r="7" spans="1:26" ht="13.5" customHeight="1" x14ac:dyDescent="0.15">
      <c r="A7" s="310">
        <f>COUNTIF(F43:HQ43,"P")</f>
        <v>9</v>
      </c>
      <c r="B7" s="311"/>
      <c r="C7" s="296">
        <f>COUNTIF(F43:HQ43,"F")</f>
        <v>1</v>
      </c>
      <c r="D7" s="297"/>
      <c r="E7" s="311"/>
      <c r="F7" s="296">
        <f>SUM(O7,-A7,-C7)</f>
        <v>0</v>
      </c>
      <c r="G7" s="297"/>
      <c r="H7" s="297"/>
      <c r="I7" s="297"/>
      <c r="J7" s="297"/>
      <c r="K7" s="311"/>
      <c r="L7" s="179">
        <f>COUNTIF(E42:HQ42,"N")</f>
        <v>2</v>
      </c>
      <c r="M7" s="179">
        <f>COUNTIF(E42:HQ42,"A")</f>
        <v>2</v>
      </c>
      <c r="N7" s="179">
        <f>COUNTIF(E42:HQ42,"B")</f>
        <v>6</v>
      </c>
      <c r="O7" s="296">
        <f>COUNTA(E9:HT9)</f>
        <v>10</v>
      </c>
      <c r="P7" s="297"/>
      <c r="Q7" s="297"/>
      <c r="R7" s="297"/>
      <c r="S7" s="297"/>
      <c r="T7" s="298"/>
      <c r="U7" s="180"/>
      <c r="V7" s="171" t="s">
        <v>22</v>
      </c>
      <c r="W7" s="171"/>
      <c r="X7" s="171"/>
      <c r="Y7" s="171"/>
      <c r="Z7" s="171"/>
    </row>
    <row r="8" spans="1:26" ht="11.25" customHeight="1" x14ac:dyDescent="0.15">
      <c r="A8" s="171"/>
      <c r="B8" s="172"/>
      <c r="C8" s="171"/>
      <c r="D8" s="18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spans="1:26" ht="43.5" customHeight="1" x14ac:dyDescent="0.15">
      <c r="A9" s="182"/>
      <c r="B9" s="183"/>
      <c r="C9" s="184"/>
      <c r="D9" s="185"/>
      <c r="E9" s="184"/>
      <c r="F9" s="186" t="s">
        <v>113</v>
      </c>
      <c r="G9" s="186" t="s">
        <v>114</v>
      </c>
      <c r="H9" s="186" t="s">
        <v>115</v>
      </c>
      <c r="I9" s="186" t="s">
        <v>141</v>
      </c>
      <c r="J9" s="186" t="s">
        <v>142</v>
      </c>
      <c r="K9" s="186" t="s">
        <v>143</v>
      </c>
      <c r="L9" s="186" t="s">
        <v>144</v>
      </c>
      <c r="M9" s="186" t="s">
        <v>145</v>
      </c>
      <c r="N9" s="186" t="s">
        <v>146</v>
      </c>
      <c r="O9" s="186" t="s">
        <v>147</v>
      </c>
      <c r="P9" s="187"/>
      <c r="Q9" s="178"/>
      <c r="R9" s="171"/>
      <c r="S9" s="171"/>
      <c r="T9" s="171"/>
      <c r="U9" s="171"/>
    </row>
    <row r="10" spans="1:26" ht="13.5" customHeight="1" x14ac:dyDescent="0.3">
      <c r="A10" s="188" t="s">
        <v>116</v>
      </c>
      <c r="B10" s="189" t="s">
        <v>117</v>
      </c>
      <c r="C10" s="190"/>
      <c r="D10" s="191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71"/>
      <c r="Q10" s="171"/>
      <c r="R10" s="171"/>
      <c r="S10" s="171"/>
      <c r="T10" s="171"/>
      <c r="U10" s="171"/>
    </row>
    <row r="11" spans="1:26" ht="13.5" customHeight="1" x14ac:dyDescent="0.3">
      <c r="A11" s="194"/>
      <c r="B11" s="189"/>
      <c r="C11" s="190"/>
      <c r="D11" s="191" t="s">
        <v>118</v>
      </c>
      <c r="E11" s="195"/>
      <c r="F11" s="193" t="s">
        <v>119</v>
      </c>
      <c r="G11" s="193" t="s">
        <v>119</v>
      </c>
      <c r="H11" s="193" t="s">
        <v>119</v>
      </c>
      <c r="I11" s="193" t="s">
        <v>119</v>
      </c>
      <c r="J11" s="193" t="s">
        <v>119</v>
      </c>
      <c r="K11" s="193" t="s">
        <v>119</v>
      </c>
      <c r="L11" s="193" t="s">
        <v>119</v>
      </c>
      <c r="M11" s="193" t="s">
        <v>119</v>
      </c>
      <c r="N11" s="193" t="s">
        <v>119</v>
      </c>
      <c r="O11" s="193" t="s">
        <v>119</v>
      </c>
      <c r="P11" s="171"/>
      <c r="Q11" s="178"/>
      <c r="R11" s="171"/>
      <c r="S11" s="171"/>
      <c r="T11" s="171"/>
      <c r="U11" s="171"/>
    </row>
    <row r="12" spans="1:26" ht="13.5" customHeight="1" x14ac:dyDescent="0.3">
      <c r="A12" s="194"/>
      <c r="B12" s="189"/>
      <c r="C12" s="190"/>
      <c r="D12" s="191" t="s">
        <v>148</v>
      </c>
      <c r="E12" s="195"/>
      <c r="F12" s="193" t="s">
        <v>119</v>
      </c>
      <c r="G12" s="193" t="s">
        <v>119</v>
      </c>
      <c r="H12" s="193" t="s">
        <v>119</v>
      </c>
      <c r="I12" s="193" t="s">
        <v>119</v>
      </c>
      <c r="J12" s="193" t="s">
        <v>119</v>
      </c>
      <c r="K12" s="193" t="s">
        <v>119</v>
      </c>
      <c r="L12" s="193" t="s">
        <v>119</v>
      </c>
      <c r="M12" s="193" t="s">
        <v>119</v>
      </c>
      <c r="N12" s="193" t="s">
        <v>119</v>
      </c>
      <c r="O12" s="193" t="s">
        <v>119</v>
      </c>
      <c r="P12" s="171"/>
      <c r="Q12" s="171"/>
      <c r="R12" s="171"/>
      <c r="S12" s="171"/>
      <c r="T12" s="171"/>
      <c r="U12" s="171"/>
    </row>
    <row r="13" spans="1:26" ht="13.5" customHeight="1" x14ac:dyDescent="0.3">
      <c r="A13" s="194"/>
      <c r="B13" s="189"/>
      <c r="C13" s="190"/>
      <c r="D13" s="191"/>
      <c r="E13" s="196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71"/>
      <c r="Q13" s="178"/>
      <c r="R13" s="171"/>
      <c r="S13" s="171"/>
      <c r="T13" s="171"/>
      <c r="U13" s="171"/>
    </row>
    <row r="14" spans="1:26" ht="13.5" customHeight="1" x14ac:dyDescent="0.3">
      <c r="A14" s="194"/>
      <c r="B14" s="189" t="s">
        <v>149</v>
      </c>
      <c r="C14" s="190"/>
      <c r="D14" s="197"/>
      <c r="E14" s="198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9"/>
      <c r="Q14" s="171"/>
      <c r="R14" s="171"/>
      <c r="S14" s="171"/>
      <c r="T14" s="171"/>
      <c r="U14" s="171"/>
    </row>
    <row r="15" spans="1:26" ht="13.5" customHeight="1" x14ac:dyDescent="0.3">
      <c r="A15" s="194"/>
      <c r="B15" s="189"/>
      <c r="C15" s="200"/>
      <c r="D15" s="201" t="s">
        <v>150</v>
      </c>
      <c r="E15" s="181"/>
      <c r="F15" s="193" t="s">
        <v>119</v>
      </c>
      <c r="G15" s="193"/>
      <c r="H15" s="193"/>
      <c r="I15" s="193"/>
      <c r="J15" s="193"/>
      <c r="K15" s="193" t="s">
        <v>119</v>
      </c>
      <c r="L15" s="193" t="s">
        <v>119</v>
      </c>
      <c r="M15" s="193" t="s">
        <v>119</v>
      </c>
      <c r="N15" s="193" t="s">
        <v>119</v>
      </c>
      <c r="O15" s="193" t="s">
        <v>119</v>
      </c>
      <c r="P15" s="171"/>
      <c r="Q15" s="171"/>
      <c r="R15" s="171"/>
      <c r="S15" s="171"/>
      <c r="T15" s="171"/>
      <c r="U15" s="171"/>
    </row>
    <row r="16" spans="1:26" ht="13.5" customHeight="1" x14ac:dyDescent="0.3">
      <c r="A16" s="194"/>
      <c r="B16" s="189"/>
      <c r="C16" s="190"/>
      <c r="D16" s="322" t="s">
        <v>151</v>
      </c>
      <c r="E16" s="323"/>
      <c r="F16" s="193"/>
      <c r="G16" s="193" t="s">
        <v>119</v>
      </c>
      <c r="H16" s="193"/>
      <c r="I16" s="193"/>
      <c r="J16" s="193"/>
      <c r="K16" s="193"/>
      <c r="L16" s="193"/>
      <c r="M16" s="193"/>
      <c r="N16" s="193"/>
      <c r="O16" s="193"/>
      <c r="P16" s="171"/>
      <c r="Q16" s="171"/>
      <c r="R16" s="171"/>
      <c r="S16" s="171"/>
      <c r="T16" s="171"/>
      <c r="U16" s="171"/>
    </row>
    <row r="17" spans="1:21" ht="13.5" customHeight="1" x14ac:dyDescent="0.3">
      <c r="A17" s="194"/>
      <c r="B17" s="189"/>
      <c r="C17" s="190"/>
      <c r="D17" s="191" t="s">
        <v>152</v>
      </c>
      <c r="E17" s="198"/>
      <c r="F17" s="193"/>
      <c r="G17" s="193"/>
      <c r="H17" s="193" t="s">
        <v>119</v>
      </c>
      <c r="I17" s="193"/>
      <c r="J17" s="193"/>
      <c r="K17" s="193"/>
      <c r="L17" s="193"/>
      <c r="M17" s="193"/>
      <c r="N17" s="193"/>
      <c r="O17" s="193"/>
      <c r="P17" s="171"/>
      <c r="Q17" s="171"/>
      <c r="R17" s="171"/>
      <c r="S17" s="171"/>
      <c r="T17" s="171"/>
      <c r="U17" s="171"/>
    </row>
    <row r="18" spans="1:21" ht="13.5" customHeight="1" x14ac:dyDescent="0.3">
      <c r="A18" s="194"/>
      <c r="B18" s="189"/>
      <c r="C18" s="190"/>
      <c r="D18" s="191" t="s">
        <v>153</v>
      </c>
      <c r="E18" s="198"/>
      <c r="F18" s="193"/>
      <c r="G18" s="193"/>
      <c r="H18" s="193"/>
      <c r="I18" s="193" t="s">
        <v>119</v>
      </c>
      <c r="J18" s="193"/>
      <c r="K18" s="193"/>
      <c r="L18" s="193"/>
      <c r="M18" s="193"/>
      <c r="N18" s="193"/>
      <c r="O18" s="193"/>
      <c r="P18" s="171"/>
      <c r="Q18" s="171"/>
      <c r="R18" s="171"/>
      <c r="S18" s="171"/>
      <c r="T18" s="171"/>
      <c r="U18" s="171"/>
    </row>
    <row r="19" spans="1:21" ht="13.5" customHeight="1" x14ac:dyDescent="0.3">
      <c r="A19" s="194"/>
      <c r="B19" s="189"/>
      <c r="C19" s="190"/>
      <c r="D19" s="191" t="s">
        <v>154</v>
      </c>
      <c r="E19" s="198"/>
      <c r="F19" s="193"/>
      <c r="G19" s="193"/>
      <c r="H19" s="193"/>
      <c r="I19" s="193"/>
      <c r="J19" s="193" t="s">
        <v>119</v>
      </c>
      <c r="K19" s="193"/>
      <c r="L19" s="193"/>
      <c r="M19" s="193"/>
      <c r="N19" s="193"/>
      <c r="O19" s="193"/>
      <c r="P19" s="171"/>
      <c r="Q19" s="171"/>
      <c r="R19" s="171"/>
      <c r="S19" s="171"/>
      <c r="T19" s="171"/>
      <c r="U19" s="171"/>
    </row>
    <row r="20" spans="1:21" ht="13.5" customHeight="1" x14ac:dyDescent="0.3">
      <c r="A20" s="194"/>
      <c r="B20" s="189" t="s">
        <v>155</v>
      </c>
      <c r="C20" s="190"/>
      <c r="D20" s="191"/>
      <c r="E20" s="198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71"/>
      <c r="Q20" s="171"/>
      <c r="R20" s="171"/>
      <c r="S20" s="171"/>
      <c r="T20" s="171"/>
      <c r="U20" s="171"/>
    </row>
    <row r="21" spans="1:21" ht="13.5" customHeight="1" x14ac:dyDescent="0.3">
      <c r="A21" s="194"/>
      <c r="B21" s="189"/>
      <c r="C21" s="190"/>
      <c r="D21" s="191" t="s">
        <v>156</v>
      </c>
      <c r="E21" s="198"/>
      <c r="F21" s="193"/>
      <c r="G21" s="193"/>
      <c r="H21" s="193"/>
      <c r="I21" s="193"/>
      <c r="J21" s="193"/>
      <c r="K21" s="193" t="s">
        <v>119</v>
      </c>
      <c r="L21" s="193"/>
      <c r="M21" s="193"/>
      <c r="N21" s="193"/>
      <c r="O21" s="193"/>
      <c r="P21" s="171"/>
      <c r="Q21" s="171"/>
      <c r="R21" s="171"/>
      <c r="S21" s="171"/>
      <c r="T21" s="171"/>
      <c r="U21" s="171"/>
    </row>
    <row r="22" spans="1:21" ht="13.5" customHeight="1" x14ac:dyDescent="0.3">
      <c r="A22" s="194"/>
      <c r="B22" s="189"/>
      <c r="C22" s="190"/>
      <c r="D22" s="191" t="s">
        <v>157</v>
      </c>
      <c r="E22" s="198"/>
      <c r="F22" s="193"/>
      <c r="G22" s="193"/>
      <c r="H22" s="193"/>
      <c r="I22" s="193"/>
      <c r="J22" s="193"/>
      <c r="K22" s="193"/>
      <c r="L22" s="193" t="s">
        <v>119</v>
      </c>
      <c r="M22" s="193"/>
      <c r="N22" s="193"/>
      <c r="O22" s="193"/>
      <c r="P22" s="171"/>
      <c r="Q22" s="171"/>
      <c r="R22" s="171"/>
      <c r="S22" s="171"/>
      <c r="T22" s="171"/>
      <c r="U22" s="171"/>
    </row>
    <row r="23" spans="1:21" ht="13.5" customHeight="1" x14ac:dyDescent="0.3">
      <c r="A23" s="194"/>
      <c r="B23" s="189"/>
      <c r="C23" s="190"/>
      <c r="D23" s="191" t="s">
        <v>158</v>
      </c>
      <c r="E23" s="198"/>
      <c r="F23" s="193" t="s">
        <v>119</v>
      </c>
      <c r="G23" s="193" t="s">
        <v>119</v>
      </c>
      <c r="H23" s="193" t="s">
        <v>119</v>
      </c>
      <c r="I23" s="193" t="s">
        <v>119</v>
      </c>
      <c r="J23" s="193" t="s">
        <v>119</v>
      </c>
      <c r="K23" s="193"/>
      <c r="L23" s="193"/>
      <c r="M23" s="193" t="s">
        <v>119</v>
      </c>
      <c r="N23" s="193" t="s">
        <v>119</v>
      </c>
      <c r="O23" s="193" t="s">
        <v>119</v>
      </c>
      <c r="P23" s="171"/>
      <c r="Q23" s="171"/>
      <c r="R23" s="171"/>
      <c r="S23" s="171"/>
      <c r="T23" s="171"/>
      <c r="U23" s="171"/>
    </row>
    <row r="24" spans="1:21" ht="13.5" customHeight="1" x14ac:dyDescent="0.3">
      <c r="A24" s="194"/>
      <c r="B24" s="189" t="s">
        <v>159</v>
      </c>
      <c r="C24" s="190"/>
      <c r="D24" s="191"/>
      <c r="E24" s="198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71"/>
      <c r="Q24" s="171"/>
      <c r="R24" s="171"/>
      <c r="S24" s="171"/>
      <c r="T24" s="171"/>
      <c r="U24" s="171"/>
    </row>
    <row r="25" spans="1:21" ht="13.5" customHeight="1" x14ac:dyDescent="0.3">
      <c r="A25" s="194"/>
      <c r="B25" s="189"/>
      <c r="C25" s="190"/>
      <c r="D25" s="191" t="s">
        <v>160</v>
      </c>
      <c r="E25" s="198"/>
      <c r="F25" s="193" t="s">
        <v>119</v>
      </c>
      <c r="G25" s="193" t="s">
        <v>119</v>
      </c>
      <c r="H25" s="193" t="s">
        <v>119</v>
      </c>
      <c r="I25" s="193" t="s">
        <v>119</v>
      </c>
      <c r="J25" s="193" t="s">
        <v>119</v>
      </c>
      <c r="K25" s="193" t="s">
        <v>119</v>
      </c>
      <c r="L25" s="193" t="s">
        <v>119</v>
      </c>
      <c r="M25" s="193"/>
      <c r="N25" s="193"/>
      <c r="O25" s="193"/>
      <c r="P25" s="171"/>
      <c r="Q25" s="171"/>
      <c r="R25" s="171"/>
      <c r="S25" s="171"/>
      <c r="T25" s="171"/>
      <c r="U25" s="171"/>
    </row>
    <row r="26" spans="1:21" ht="13.5" customHeight="1" x14ac:dyDescent="0.3">
      <c r="A26" s="194"/>
      <c r="B26" s="189"/>
      <c r="C26" s="190"/>
      <c r="D26" s="191" t="s">
        <v>161</v>
      </c>
      <c r="E26" s="198"/>
      <c r="F26" s="193"/>
      <c r="G26" s="193"/>
      <c r="H26" s="193"/>
      <c r="I26" s="193"/>
      <c r="J26" s="193"/>
      <c r="K26" s="193"/>
      <c r="L26" s="193"/>
      <c r="M26" s="193" t="s">
        <v>119</v>
      </c>
      <c r="N26" s="193"/>
      <c r="O26" s="193"/>
      <c r="P26" s="171"/>
      <c r="Q26" s="171"/>
      <c r="R26" s="171"/>
      <c r="S26" s="171"/>
      <c r="T26" s="171"/>
      <c r="U26" s="171"/>
    </row>
    <row r="27" spans="1:21" ht="13.5" customHeight="1" x14ac:dyDescent="0.3">
      <c r="A27" s="194"/>
      <c r="B27" s="189"/>
      <c r="C27" s="190"/>
      <c r="D27" s="191" t="s">
        <v>162</v>
      </c>
      <c r="E27" s="198"/>
      <c r="F27" s="193"/>
      <c r="G27" s="193"/>
      <c r="H27" s="193"/>
      <c r="I27" s="193"/>
      <c r="J27" s="193"/>
      <c r="K27" s="193"/>
      <c r="L27" s="193"/>
      <c r="M27" s="193"/>
      <c r="N27" s="193" t="s">
        <v>119</v>
      </c>
      <c r="O27" s="193"/>
      <c r="P27" s="171"/>
      <c r="Q27" s="171"/>
      <c r="R27" s="171"/>
      <c r="S27" s="171"/>
      <c r="T27" s="171"/>
      <c r="U27" s="171"/>
    </row>
    <row r="28" spans="1:21" ht="13.5" customHeight="1" x14ac:dyDescent="0.3">
      <c r="A28" s="194"/>
      <c r="B28" s="202"/>
      <c r="C28" s="203"/>
      <c r="D28" s="204" t="s">
        <v>163</v>
      </c>
      <c r="E28" s="205"/>
      <c r="F28" s="206"/>
      <c r="G28" s="206"/>
      <c r="H28" s="206"/>
      <c r="I28" s="206"/>
      <c r="J28" s="206"/>
      <c r="K28" s="206"/>
      <c r="L28" s="206"/>
      <c r="M28" s="206"/>
      <c r="N28" s="206"/>
      <c r="O28" s="206" t="s">
        <v>119</v>
      </c>
      <c r="P28" s="171"/>
      <c r="Q28" s="171"/>
      <c r="R28" s="171"/>
      <c r="S28" s="171"/>
      <c r="T28" s="171"/>
      <c r="U28" s="171"/>
    </row>
    <row r="29" spans="1:21" ht="13.5" customHeight="1" x14ac:dyDescent="0.3">
      <c r="A29" s="207" t="s">
        <v>125</v>
      </c>
      <c r="B29" s="208" t="s">
        <v>126</v>
      </c>
      <c r="C29" s="209"/>
      <c r="D29" s="210"/>
      <c r="E29" s="211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171"/>
      <c r="Q29" s="171"/>
      <c r="R29" s="171"/>
      <c r="S29" s="171"/>
      <c r="T29" s="171"/>
      <c r="U29" s="171"/>
    </row>
    <row r="30" spans="1:21" ht="13.5" customHeight="1" x14ac:dyDescent="0.3">
      <c r="A30" s="213"/>
      <c r="B30" s="214"/>
      <c r="C30" s="215"/>
      <c r="D30" s="216" t="s">
        <v>127</v>
      </c>
      <c r="E30" s="217"/>
      <c r="F30" s="193" t="s">
        <v>119</v>
      </c>
      <c r="G30" s="193" t="s">
        <v>119</v>
      </c>
      <c r="H30" s="193"/>
      <c r="I30" s="193"/>
      <c r="J30" s="193"/>
      <c r="K30" s="193" t="s">
        <v>119</v>
      </c>
      <c r="L30" s="193"/>
      <c r="M30" s="193"/>
      <c r="N30" s="193"/>
      <c r="O30" s="193"/>
      <c r="P30" s="171"/>
      <c r="Q30" s="171"/>
      <c r="R30" s="171"/>
      <c r="S30" s="171"/>
      <c r="T30" s="171"/>
      <c r="U30" s="171"/>
    </row>
    <row r="31" spans="1:21" ht="13.5" customHeight="1" x14ac:dyDescent="0.3">
      <c r="A31" s="213"/>
      <c r="B31" s="214"/>
      <c r="C31" s="218"/>
      <c r="D31" s="216" t="s">
        <v>128</v>
      </c>
      <c r="E31" s="219"/>
      <c r="F31" s="193"/>
      <c r="G31" s="193"/>
      <c r="H31" s="193" t="s">
        <v>119</v>
      </c>
      <c r="I31" s="193" t="s">
        <v>119</v>
      </c>
      <c r="J31" s="193" t="s">
        <v>119</v>
      </c>
      <c r="K31" s="193"/>
      <c r="L31" s="193" t="s">
        <v>119</v>
      </c>
      <c r="M31" s="193" t="s">
        <v>119</v>
      </c>
      <c r="N31" s="193" t="s">
        <v>119</v>
      </c>
      <c r="O31" s="193" t="s">
        <v>119</v>
      </c>
      <c r="P31" s="171"/>
      <c r="Q31" s="171"/>
      <c r="R31" s="171"/>
      <c r="S31" s="171"/>
      <c r="T31" s="171"/>
      <c r="U31" s="171"/>
    </row>
    <row r="32" spans="1:21" ht="13.5" customHeight="1" x14ac:dyDescent="0.3">
      <c r="A32" s="213"/>
      <c r="B32" s="214" t="s">
        <v>129</v>
      </c>
      <c r="C32" s="218"/>
      <c r="D32" s="216"/>
      <c r="E32" s="219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71"/>
      <c r="Q32" s="171"/>
      <c r="R32" s="171"/>
      <c r="S32" s="171"/>
      <c r="T32" s="171"/>
      <c r="U32" s="171"/>
    </row>
    <row r="33" spans="1:26" ht="13.5" customHeight="1" x14ac:dyDescent="0.3">
      <c r="A33" s="213"/>
      <c r="B33" s="214"/>
      <c r="C33" s="218"/>
      <c r="D33" s="216"/>
      <c r="E33" s="219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71"/>
      <c r="Q33" s="171"/>
      <c r="R33" s="171"/>
      <c r="S33" s="171"/>
      <c r="T33" s="171"/>
      <c r="U33" s="171"/>
    </row>
    <row r="34" spans="1:26" ht="13.5" customHeight="1" x14ac:dyDescent="0.3">
      <c r="A34" s="213"/>
      <c r="B34" s="214" t="s">
        <v>130</v>
      </c>
      <c r="C34" s="218"/>
      <c r="D34" s="216"/>
      <c r="E34" s="219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71"/>
      <c r="Q34" s="171"/>
      <c r="R34" s="171"/>
      <c r="S34" s="171"/>
      <c r="T34" s="171"/>
      <c r="U34" s="171"/>
    </row>
    <row r="35" spans="1:26" ht="13.5" customHeight="1" x14ac:dyDescent="0.3">
      <c r="A35" s="213"/>
      <c r="B35" s="214"/>
      <c r="C35" s="218"/>
      <c r="D35" s="216" t="s">
        <v>164</v>
      </c>
      <c r="E35" s="219"/>
      <c r="F35" s="193" t="s">
        <v>119</v>
      </c>
      <c r="G35" s="193" t="s">
        <v>119</v>
      </c>
      <c r="H35" s="193"/>
      <c r="I35" s="193"/>
      <c r="J35" s="193"/>
      <c r="K35" s="193" t="s">
        <v>119</v>
      </c>
      <c r="L35" s="193"/>
      <c r="M35" s="193"/>
      <c r="N35" s="193"/>
      <c r="O35" s="193"/>
      <c r="P35" s="171"/>
      <c r="Q35" s="171"/>
      <c r="R35" s="171"/>
      <c r="S35" s="171"/>
      <c r="T35" s="171"/>
      <c r="U35" s="171"/>
    </row>
    <row r="36" spans="1:26" ht="13.5" customHeight="1" x14ac:dyDescent="0.3">
      <c r="A36" s="213"/>
      <c r="B36" s="220"/>
      <c r="C36" s="221"/>
      <c r="D36" s="222" t="s">
        <v>165</v>
      </c>
      <c r="E36" s="223"/>
      <c r="F36" s="224"/>
      <c r="G36" s="224"/>
      <c r="H36" s="224"/>
      <c r="I36" s="224" t="s">
        <v>119</v>
      </c>
      <c r="J36" s="224"/>
      <c r="K36" s="224"/>
      <c r="L36" s="224"/>
      <c r="M36" s="224"/>
      <c r="N36" s="224"/>
      <c r="O36" s="224"/>
      <c r="P36" s="171"/>
      <c r="Q36" s="171"/>
      <c r="R36" s="171"/>
      <c r="S36" s="171"/>
      <c r="T36" s="171"/>
      <c r="U36" s="171"/>
    </row>
    <row r="37" spans="1:26" ht="13.5" customHeight="1" x14ac:dyDescent="0.3">
      <c r="A37" s="213"/>
      <c r="B37" s="220"/>
      <c r="C37" s="221"/>
      <c r="D37" s="222" t="s">
        <v>166</v>
      </c>
      <c r="E37" s="223"/>
      <c r="F37" s="224"/>
      <c r="G37" s="224"/>
      <c r="H37" s="224" t="s">
        <v>119</v>
      </c>
      <c r="I37" s="224"/>
      <c r="J37" s="224"/>
      <c r="K37" s="224"/>
      <c r="L37" s="224"/>
      <c r="M37" s="224"/>
      <c r="N37" s="224"/>
      <c r="O37" s="224"/>
      <c r="P37" s="171"/>
      <c r="Q37" s="171"/>
      <c r="R37" s="171"/>
      <c r="S37" s="171"/>
      <c r="T37" s="171"/>
      <c r="U37" s="171"/>
    </row>
    <row r="38" spans="1:26" ht="13.5" customHeight="1" x14ac:dyDescent="0.3">
      <c r="A38" s="213"/>
      <c r="B38" s="220"/>
      <c r="C38" s="221"/>
      <c r="D38" s="222" t="s">
        <v>167</v>
      </c>
      <c r="E38" s="223"/>
      <c r="F38" s="224"/>
      <c r="G38" s="224"/>
      <c r="H38" s="224"/>
      <c r="I38" s="224"/>
      <c r="J38" s="224" t="s">
        <v>119</v>
      </c>
      <c r="K38" s="224"/>
      <c r="L38" s="224"/>
      <c r="M38" s="224"/>
      <c r="N38" s="224"/>
      <c r="O38" s="224"/>
      <c r="P38" s="171"/>
      <c r="Q38" s="171"/>
      <c r="R38" s="171"/>
      <c r="S38" s="171"/>
      <c r="T38" s="171"/>
      <c r="U38" s="171"/>
    </row>
    <row r="39" spans="1:26" ht="13.5" customHeight="1" x14ac:dyDescent="0.3">
      <c r="A39" s="213"/>
      <c r="B39" s="220"/>
      <c r="C39" s="221"/>
      <c r="D39" s="222" t="s">
        <v>168</v>
      </c>
      <c r="E39" s="223"/>
      <c r="F39" s="224"/>
      <c r="G39" s="224"/>
      <c r="H39" s="224"/>
      <c r="I39" s="224"/>
      <c r="J39" s="224"/>
      <c r="K39" s="224"/>
      <c r="L39" s="224" t="s">
        <v>119</v>
      </c>
      <c r="M39" s="224"/>
      <c r="N39" s="224"/>
      <c r="O39" s="224"/>
      <c r="P39" s="171"/>
      <c r="Q39" s="171"/>
      <c r="R39" s="171"/>
      <c r="S39" s="171"/>
      <c r="T39" s="171"/>
      <c r="U39" s="171"/>
    </row>
    <row r="40" spans="1:26" ht="13.5" customHeight="1" x14ac:dyDescent="0.3">
      <c r="A40" s="213"/>
      <c r="B40" s="220"/>
      <c r="C40" s="221"/>
      <c r="D40" s="222" t="s">
        <v>169</v>
      </c>
      <c r="E40" s="223"/>
      <c r="F40" s="224"/>
      <c r="G40" s="224"/>
      <c r="H40" s="224"/>
      <c r="I40" s="224"/>
      <c r="J40" s="224"/>
      <c r="K40" s="224"/>
      <c r="L40" s="224"/>
      <c r="M40" s="224" t="s">
        <v>119</v>
      </c>
      <c r="N40" s="224"/>
      <c r="O40" s="224"/>
      <c r="P40" s="171"/>
      <c r="Q40" s="171"/>
      <c r="R40" s="171"/>
      <c r="S40" s="171"/>
      <c r="T40" s="171"/>
      <c r="U40" s="171"/>
    </row>
    <row r="41" spans="1:26" ht="13.5" customHeight="1" x14ac:dyDescent="0.3">
      <c r="A41" s="213"/>
      <c r="B41" s="220"/>
      <c r="C41" s="221"/>
      <c r="D41" s="222" t="s">
        <v>170</v>
      </c>
      <c r="E41" s="223"/>
      <c r="F41" s="224"/>
      <c r="G41" s="224"/>
      <c r="H41" s="224"/>
      <c r="I41" s="224"/>
      <c r="J41" s="224"/>
      <c r="K41" s="224"/>
      <c r="L41" s="224"/>
      <c r="M41" s="224"/>
      <c r="N41" s="224" t="s">
        <v>119</v>
      </c>
      <c r="O41" s="224" t="s">
        <v>119</v>
      </c>
      <c r="P41" s="171"/>
      <c r="Q41" s="171"/>
      <c r="R41" s="171"/>
      <c r="S41" s="171"/>
      <c r="T41" s="171"/>
      <c r="U41" s="171"/>
    </row>
    <row r="42" spans="1:26" ht="13.5" customHeight="1" x14ac:dyDescent="0.2">
      <c r="A42" s="207" t="s">
        <v>134</v>
      </c>
      <c r="B42" s="324" t="s">
        <v>135</v>
      </c>
      <c r="C42" s="301"/>
      <c r="D42" s="302"/>
      <c r="E42" s="225"/>
      <c r="F42" s="226" t="s">
        <v>95</v>
      </c>
      <c r="G42" s="226" t="s">
        <v>95</v>
      </c>
      <c r="H42" s="226" t="s">
        <v>96</v>
      </c>
      <c r="I42" s="226" t="s">
        <v>96</v>
      </c>
      <c r="J42" s="226" t="s">
        <v>66</v>
      </c>
      <c r="K42" s="226" t="s">
        <v>96</v>
      </c>
      <c r="L42" s="226" t="s">
        <v>96</v>
      </c>
      <c r="M42" s="226" t="s">
        <v>66</v>
      </c>
      <c r="N42" s="226" t="s">
        <v>96</v>
      </c>
      <c r="O42" s="226" t="s">
        <v>96</v>
      </c>
      <c r="P42" s="171"/>
      <c r="Q42" s="171"/>
      <c r="R42" s="171"/>
      <c r="S42" s="171"/>
      <c r="T42" s="171"/>
      <c r="U42" s="171"/>
    </row>
    <row r="43" spans="1:26" ht="13.5" customHeight="1" x14ac:dyDescent="0.2">
      <c r="A43" s="213"/>
      <c r="B43" s="325" t="s">
        <v>136</v>
      </c>
      <c r="C43" s="251"/>
      <c r="D43" s="252"/>
      <c r="E43" s="227"/>
      <c r="F43" s="228" t="s">
        <v>137</v>
      </c>
      <c r="G43" s="228" t="s">
        <v>137</v>
      </c>
      <c r="H43" s="228" t="s">
        <v>137</v>
      </c>
      <c r="I43" s="228" t="s">
        <v>137</v>
      </c>
      <c r="J43" s="228" t="s">
        <v>137</v>
      </c>
      <c r="K43" s="228" t="s">
        <v>137</v>
      </c>
      <c r="L43" s="228" t="s">
        <v>137</v>
      </c>
      <c r="M43" s="228" t="s">
        <v>128</v>
      </c>
      <c r="N43" s="228" t="s">
        <v>137</v>
      </c>
      <c r="O43" s="228" t="s">
        <v>137</v>
      </c>
      <c r="P43" s="171"/>
      <c r="Q43" s="171"/>
      <c r="R43" s="171"/>
      <c r="S43" s="171"/>
      <c r="T43" s="171"/>
      <c r="U43" s="171"/>
    </row>
    <row r="44" spans="1:26" ht="52.5" customHeight="1" x14ac:dyDescent="0.15">
      <c r="A44" s="213"/>
      <c r="B44" s="326" t="s">
        <v>138</v>
      </c>
      <c r="C44" s="251"/>
      <c r="D44" s="252"/>
      <c r="E44" s="229"/>
      <c r="F44" s="230">
        <v>45590</v>
      </c>
      <c r="G44" s="230">
        <v>45590</v>
      </c>
      <c r="H44" s="230">
        <v>45590</v>
      </c>
      <c r="I44" s="230">
        <v>45590</v>
      </c>
      <c r="J44" s="230">
        <v>45590</v>
      </c>
      <c r="K44" s="230">
        <v>45590</v>
      </c>
      <c r="L44" s="230">
        <v>45590</v>
      </c>
      <c r="M44" s="230">
        <v>45590</v>
      </c>
      <c r="N44" s="230">
        <v>45590</v>
      </c>
      <c r="O44" s="230">
        <v>45590</v>
      </c>
      <c r="P44" s="171"/>
      <c r="Q44" s="171"/>
      <c r="R44" s="171"/>
      <c r="S44" s="171"/>
      <c r="T44" s="171"/>
      <c r="U44" s="171"/>
    </row>
    <row r="45" spans="1:26" ht="27" customHeight="1" x14ac:dyDescent="0.15">
      <c r="A45" s="231"/>
      <c r="B45" s="327" t="s">
        <v>139</v>
      </c>
      <c r="C45" s="306"/>
      <c r="D45" s="307"/>
      <c r="E45" s="232"/>
      <c r="F45" s="233"/>
      <c r="G45" s="233"/>
      <c r="H45" s="233"/>
      <c r="I45" s="233"/>
      <c r="J45" s="233"/>
      <c r="K45" s="233"/>
      <c r="L45" s="233"/>
      <c r="M45" s="233" t="s">
        <v>171</v>
      </c>
      <c r="N45" s="233"/>
      <c r="O45" s="233"/>
      <c r="P45" s="171"/>
      <c r="Q45" s="171"/>
      <c r="R45" s="171"/>
      <c r="S45" s="171"/>
      <c r="T45" s="171"/>
      <c r="U45" s="171"/>
    </row>
    <row r="46" spans="1:26" ht="11.25" customHeight="1" x14ac:dyDescent="0.15">
      <c r="A46" s="172"/>
      <c r="B46" s="171"/>
      <c r="C46" s="18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spans="1:26" ht="13.5" customHeight="1" x14ac:dyDescent="0.15">
      <c r="A47" s="171"/>
      <c r="B47" s="172"/>
      <c r="C47" s="171"/>
      <c r="D47" s="18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spans="1:26" ht="13.5" customHeight="1" x14ac:dyDescent="0.15">
      <c r="A48" s="171"/>
      <c r="B48" s="172"/>
      <c r="C48" s="171"/>
      <c r="D48" s="18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spans="1:26" ht="13.5" customHeight="1" x14ac:dyDescent="0.15">
      <c r="A49" s="171"/>
      <c r="B49" s="172"/>
      <c r="C49" s="171"/>
      <c r="D49" s="18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spans="1:26" ht="13.5" customHeight="1" x14ac:dyDescent="0.15">
      <c r="A50" s="171"/>
      <c r="B50" s="172"/>
      <c r="C50" s="171"/>
      <c r="D50" s="18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spans="1:26" ht="13.5" customHeight="1" x14ac:dyDescent="0.15">
      <c r="A51" s="171"/>
      <c r="B51" s="172"/>
      <c r="C51" s="171"/>
      <c r="D51" s="18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spans="1:26" ht="13.5" customHeight="1" x14ac:dyDescent="0.15">
      <c r="A52" s="171"/>
      <c r="B52" s="172"/>
      <c r="C52" s="171"/>
      <c r="D52" s="18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13.5" customHeight="1" x14ac:dyDescent="0.15">
      <c r="A53" s="171"/>
      <c r="B53" s="172"/>
      <c r="C53" s="171"/>
      <c r="D53" s="18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spans="1:26" ht="13.5" customHeight="1" x14ac:dyDescent="0.15">
      <c r="A54" s="171"/>
      <c r="B54" s="172"/>
      <c r="C54" s="171"/>
      <c r="D54" s="18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spans="1:26" ht="13.5" customHeight="1" x14ac:dyDescent="0.15">
      <c r="A55" s="171"/>
      <c r="B55" s="172"/>
      <c r="C55" s="171"/>
      <c r="D55" s="18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spans="1:26" ht="13.5" customHeight="1" x14ac:dyDescent="0.15">
      <c r="A56" s="171"/>
      <c r="B56" s="172"/>
      <c r="C56" s="171"/>
      <c r="D56" s="18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spans="1:26" ht="13.5" customHeight="1" x14ac:dyDescent="0.15">
      <c r="A57" s="171"/>
      <c r="B57" s="172"/>
      <c r="C57" s="171"/>
      <c r="D57" s="18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spans="1:26" ht="13.5" customHeight="1" x14ac:dyDescent="0.15">
      <c r="A58" s="171"/>
      <c r="B58" s="172"/>
      <c r="C58" s="171"/>
      <c r="D58" s="18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spans="1:26" ht="13.5" customHeight="1" x14ac:dyDescent="0.15">
      <c r="A59" s="171"/>
      <c r="B59" s="172"/>
      <c r="C59" s="171"/>
      <c r="D59" s="18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spans="1:26" ht="13.5" customHeight="1" x14ac:dyDescent="0.15">
      <c r="A60" s="171"/>
      <c r="B60" s="172"/>
      <c r="C60" s="171"/>
      <c r="D60" s="18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spans="1:26" ht="13.5" customHeight="1" x14ac:dyDescent="0.15">
      <c r="A61" s="171"/>
      <c r="B61" s="172"/>
      <c r="C61" s="171"/>
      <c r="D61" s="18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3.5" customHeight="1" x14ac:dyDescent="0.15">
      <c r="A62" s="171"/>
      <c r="B62" s="172"/>
      <c r="C62" s="171"/>
      <c r="D62" s="18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:26" ht="13.5" customHeight="1" x14ac:dyDescent="0.15">
      <c r="A63" s="171"/>
      <c r="B63" s="172"/>
      <c r="C63" s="171"/>
      <c r="D63" s="18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:26" ht="13.5" customHeight="1" x14ac:dyDescent="0.15">
      <c r="A64" s="171"/>
      <c r="B64" s="172"/>
      <c r="C64" s="171"/>
      <c r="D64" s="18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:26" ht="13.5" customHeight="1" x14ac:dyDescent="0.15">
      <c r="A65" s="171"/>
      <c r="B65" s="172"/>
      <c r="C65" s="171"/>
      <c r="D65" s="18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:26" ht="13.5" customHeight="1" x14ac:dyDescent="0.15">
      <c r="A66" s="171"/>
      <c r="B66" s="172"/>
      <c r="C66" s="171"/>
      <c r="D66" s="18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6" ht="13.5" customHeight="1" x14ac:dyDescent="0.15">
      <c r="A67" s="171"/>
      <c r="B67" s="172"/>
      <c r="C67" s="171"/>
      <c r="D67" s="18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:26" ht="13.5" customHeight="1" x14ac:dyDescent="0.15">
      <c r="A68" s="171"/>
      <c r="B68" s="172"/>
      <c r="C68" s="171"/>
      <c r="D68" s="18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:26" ht="13.5" customHeight="1" x14ac:dyDescent="0.15">
      <c r="A69" s="171"/>
      <c r="B69" s="172"/>
      <c r="C69" s="171"/>
      <c r="D69" s="18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:26" ht="13.5" customHeight="1" x14ac:dyDescent="0.15">
      <c r="A70" s="171"/>
      <c r="B70" s="172"/>
      <c r="C70" s="171"/>
      <c r="D70" s="18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:26" ht="13.5" customHeight="1" x14ac:dyDescent="0.15">
      <c r="A71" s="171"/>
      <c r="B71" s="172"/>
      <c r="C71" s="171"/>
      <c r="D71" s="18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:26" ht="13.5" customHeight="1" x14ac:dyDescent="0.15">
      <c r="A72" s="171"/>
      <c r="B72" s="172"/>
      <c r="C72" s="171"/>
      <c r="D72" s="18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:26" ht="13.5" customHeight="1" x14ac:dyDescent="0.15">
      <c r="A73" s="171"/>
      <c r="B73" s="172"/>
      <c r="C73" s="171"/>
      <c r="D73" s="18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:26" ht="13.5" customHeight="1" x14ac:dyDescent="0.15">
      <c r="A74" s="171"/>
      <c r="B74" s="172"/>
      <c r="C74" s="171"/>
      <c r="D74" s="18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:26" ht="13.5" customHeight="1" x14ac:dyDescent="0.15">
      <c r="A75" s="171"/>
      <c r="B75" s="172"/>
      <c r="C75" s="171"/>
      <c r="D75" s="18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:26" ht="13.5" customHeight="1" x14ac:dyDescent="0.15">
      <c r="A76" s="171"/>
      <c r="B76" s="172"/>
      <c r="C76" s="171"/>
      <c r="D76" s="18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:26" ht="13.5" customHeight="1" x14ac:dyDescent="0.15">
      <c r="A77" s="171"/>
      <c r="B77" s="172"/>
      <c r="C77" s="171"/>
      <c r="D77" s="18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:26" ht="13.5" customHeight="1" x14ac:dyDescent="0.15">
      <c r="A78" s="171"/>
      <c r="B78" s="172"/>
      <c r="C78" s="171"/>
      <c r="D78" s="18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:26" ht="13.5" customHeight="1" x14ac:dyDescent="0.15">
      <c r="A79" s="171"/>
      <c r="B79" s="172"/>
      <c r="C79" s="171"/>
      <c r="D79" s="18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:26" ht="13.5" customHeight="1" x14ac:dyDescent="0.15">
      <c r="A80" s="171"/>
      <c r="B80" s="172"/>
      <c r="C80" s="171"/>
      <c r="D80" s="18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:26" ht="13.5" customHeight="1" x14ac:dyDescent="0.15">
      <c r="A81" s="171"/>
      <c r="B81" s="172"/>
      <c r="C81" s="171"/>
      <c r="D81" s="18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:26" ht="13.5" customHeight="1" x14ac:dyDescent="0.15">
      <c r="A82" s="171"/>
      <c r="B82" s="172"/>
      <c r="C82" s="171"/>
      <c r="D82" s="18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:26" ht="13.5" customHeight="1" x14ac:dyDescent="0.15">
      <c r="A83" s="171"/>
      <c r="B83" s="172"/>
      <c r="C83" s="171"/>
      <c r="D83" s="18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:26" ht="13.5" customHeight="1" x14ac:dyDescent="0.15">
      <c r="A84" s="171"/>
      <c r="B84" s="172"/>
      <c r="C84" s="171"/>
      <c r="D84" s="18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:26" ht="13.5" customHeight="1" x14ac:dyDescent="0.15">
      <c r="A85" s="171"/>
      <c r="B85" s="172"/>
      <c r="C85" s="171"/>
      <c r="D85" s="18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:26" ht="13.5" customHeight="1" x14ac:dyDescent="0.15">
      <c r="A86" s="171"/>
      <c r="B86" s="172"/>
      <c r="C86" s="171"/>
      <c r="D86" s="18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:26" ht="13.5" customHeight="1" x14ac:dyDescent="0.15">
      <c r="A87" s="171"/>
      <c r="B87" s="172"/>
      <c r="C87" s="171"/>
      <c r="D87" s="18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:26" ht="13.5" customHeight="1" x14ac:dyDescent="0.15">
      <c r="A88" s="171"/>
      <c r="B88" s="172"/>
      <c r="C88" s="171"/>
      <c r="D88" s="18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:26" ht="13.5" customHeight="1" x14ac:dyDescent="0.15">
      <c r="A89" s="171"/>
      <c r="B89" s="172"/>
      <c r="C89" s="171"/>
      <c r="D89" s="18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:26" ht="13.5" customHeight="1" x14ac:dyDescent="0.15">
      <c r="A90" s="171"/>
      <c r="B90" s="172"/>
      <c r="C90" s="171"/>
      <c r="D90" s="18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:26" ht="13.5" customHeight="1" x14ac:dyDescent="0.15">
      <c r="A91" s="171"/>
      <c r="B91" s="172"/>
      <c r="C91" s="171"/>
      <c r="D91" s="18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:26" ht="13.5" customHeight="1" x14ac:dyDescent="0.15">
      <c r="A92" s="171"/>
      <c r="B92" s="172"/>
      <c r="C92" s="171"/>
      <c r="D92" s="18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:26" ht="13.5" customHeight="1" x14ac:dyDescent="0.15">
      <c r="A93" s="171"/>
      <c r="B93" s="172"/>
      <c r="C93" s="171"/>
      <c r="D93" s="18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:26" ht="13.5" customHeight="1" x14ac:dyDescent="0.15">
      <c r="A94" s="171"/>
      <c r="B94" s="172"/>
      <c r="C94" s="171"/>
      <c r="D94" s="18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:26" ht="13.5" customHeight="1" x14ac:dyDescent="0.15">
      <c r="A95" s="171"/>
      <c r="B95" s="172"/>
      <c r="C95" s="171"/>
      <c r="D95" s="18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:26" ht="13.5" customHeight="1" x14ac:dyDescent="0.15">
      <c r="A96" s="171"/>
      <c r="B96" s="172"/>
      <c r="C96" s="171"/>
      <c r="D96" s="18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:26" ht="13.5" customHeight="1" x14ac:dyDescent="0.15">
      <c r="A97" s="171"/>
      <c r="B97" s="172"/>
      <c r="C97" s="171"/>
      <c r="D97" s="18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:26" ht="13.5" customHeight="1" x14ac:dyDescent="0.15">
      <c r="A98" s="171"/>
      <c r="B98" s="172"/>
      <c r="C98" s="171"/>
      <c r="D98" s="18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:26" ht="13.5" customHeight="1" x14ac:dyDescent="0.15">
      <c r="A99" s="171"/>
      <c r="B99" s="172"/>
      <c r="C99" s="171"/>
      <c r="D99" s="18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spans="1:26" ht="13.5" customHeight="1" x14ac:dyDescent="0.15">
      <c r="A100" s="171"/>
      <c r="B100" s="172"/>
      <c r="C100" s="171"/>
      <c r="D100" s="18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spans="1:26" ht="13.5" customHeight="1" x14ac:dyDescent="0.15">
      <c r="A101" s="171"/>
      <c r="B101" s="172"/>
      <c r="C101" s="171"/>
      <c r="D101" s="18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spans="1:26" ht="13.5" customHeight="1" x14ac:dyDescent="0.15">
      <c r="A102" s="171"/>
      <c r="B102" s="172"/>
      <c r="C102" s="171"/>
      <c r="D102" s="18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spans="1:26" ht="13.5" customHeight="1" x14ac:dyDescent="0.15">
      <c r="A103" s="171"/>
      <c r="B103" s="172"/>
      <c r="C103" s="171"/>
      <c r="D103" s="18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spans="1:26" ht="13.5" customHeight="1" x14ac:dyDescent="0.15">
      <c r="A104" s="171"/>
      <c r="B104" s="172"/>
      <c r="C104" s="171"/>
      <c r="D104" s="18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spans="1:26" ht="13.5" customHeight="1" x14ac:dyDescent="0.15">
      <c r="A105" s="171"/>
      <c r="B105" s="172"/>
      <c r="C105" s="171"/>
      <c r="D105" s="18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spans="1:26" ht="13.5" customHeight="1" x14ac:dyDescent="0.15">
      <c r="A106" s="171"/>
      <c r="B106" s="172"/>
      <c r="C106" s="171"/>
      <c r="D106" s="18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spans="1:26" ht="13.5" customHeight="1" x14ac:dyDescent="0.15">
      <c r="A107" s="171"/>
      <c r="B107" s="172"/>
      <c r="C107" s="171"/>
      <c r="D107" s="18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spans="1:26" ht="13.5" customHeight="1" x14ac:dyDescent="0.15">
      <c r="A108" s="171"/>
      <c r="B108" s="172"/>
      <c r="C108" s="171"/>
      <c r="D108" s="18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spans="1:26" ht="13.5" customHeight="1" x14ac:dyDescent="0.15">
      <c r="A109" s="171"/>
      <c r="B109" s="172"/>
      <c r="C109" s="171"/>
      <c r="D109" s="18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spans="1:26" ht="13.5" customHeight="1" x14ac:dyDescent="0.15">
      <c r="A110" s="171"/>
      <c r="B110" s="172"/>
      <c r="C110" s="171"/>
      <c r="D110" s="18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spans="1:26" ht="13.5" customHeight="1" x14ac:dyDescent="0.15">
      <c r="A111" s="171"/>
      <c r="B111" s="172"/>
      <c r="C111" s="171"/>
      <c r="D111" s="18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spans="1:26" ht="13.5" customHeight="1" x14ac:dyDescent="0.15">
      <c r="A112" s="171"/>
      <c r="B112" s="172"/>
      <c r="C112" s="171"/>
      <c r="D112" s="18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spans="1:26" ht="13.5" customHeight="1" x14ac:dyDescent="0.15">
      <c r="A113" s="171"/>
      <c r="B113" s="172"/>
      <c r="C113" s="171"/>
      <c r="D113" s="18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spans="1:26" ht="13.5" customHeight="1" x14ac:dyDescent="0.15">
      <c r="A114" s="171"/>
      <c r="B114" s="172"/>
      <c r="C114" s="171"/>
      <c r="D114" s="18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spans="1:26" ht="13.5" customHeight="1" x14ac:dyDescent="0.15">
      <c r="A115" s="171"/>
      <c r="B115" s="172"/>
      <c r="C115" s="171"/>
      <c r="D115" s="18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spans="1:26" ht="13.5" customHeight="1" x14ac:dyDescent="0.15">
      <c r="A116" s="171"/>
      <c r="B116" s="172"/>
      <c r="C116" s="171"/>
      <c r="D116" s="18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spans="1:26" ht="13.5" customHeight="1" x14ac:dyDescent="0.15">
      <c r="A117" s="171"/>
      <c r="B117" s="172"/>
      <c r="C117" s="171"/>
      <c r="D117" s="18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spans="1:26" ht="13.5" customHeight="1" x14ac:dyDescent="0.15">
      <c r="A118" s="171"/>
      <c r="B118" s="172"/>
      <c r="C118" s="171"/>
      <c r="D118" s="18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spans="1:26" ht="13.5" customHeight="1" x14ac:dyDescent="0.15">
      <c r="A119" s="171"/>
      <c r="B119" s="172"/>
      <c r="C119" s="171"/>
      <c r="D119" s="18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spans="1:26" ht="13.5" customHeight="1" x14ac:dyDescent="0.15">
      <c r="A120" s="171"/>
      <c r="B120" s="172"/>
      <c r="C120" s="171"/>
      <c r="D120" s="18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:26" ht="13.5" customHeight="1" x14ac:dyDescent="0.15">
      <c r="A121" s="171"/>
      <c r="B121" s="172"/>
      <c r="C121" s="171"/>
      <c r="D121" s="18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:26" ht="13.5" customHeight="1" x14ac:dyDescent="0.15">
      <c r="A122" s="171"/>
      <c r="B122" s="172"/>
      <c r="C122" s="171"/>
      <c r="D122" s="18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:26" ht="13.5" customHeight="1" x14ac:dyDescent="0.15">
      <c r="A123" s="171"/>
      <c r="B123" s="172"/>
      <c r="C123" s="171"/>
      <c r="D123" s="18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:26" ht="13.5" customHeight="1" x14ac:dyDescent="0.15">
      <c r="A124" s="171"/>
      <c r="B124" s="172"/>
      <c r="C124" s="171"/>
      <c r="D124" s="18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:26" ht="13.5" customHeight="1" x14ac:dyDescent="0.15">
      <c r="A125" s="171"/>
      <c r="B125" s="172"/>
      <c r="C125" s="171"/>
      <c r="D125" s="18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:26" ht="13.5" customHeight="1" x14ac:dyDescent="0.15">
      <c r="A126" s="171"/>
      <c r="B126" s="172"/>
      <c r="C126" s="171"/>
      <c r="D126" s="18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:26" ht="13.5" customHeight="1" x14ac:dyDescent="0.15">
      <c r="A127" s="171"/>
      <c r="B127" s="172"/>
      <c r="C127" s="171"/>
      <c r="D127" s="18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:26" ht="13.5" customHeight="1" x14ac:dyDescent="0.15">
      <c r="A128" s="171"/>
      <c r="B128" s="172"/>
      <c r="C128" s="171"/>
      <c r="D128" s="18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:26" ht="13.5" customHeight="1" x14ac:dyDescent="0.15">
      <c r="A129" s="171"/>
      <c r="B129" s="172"/>
      <c r="C129" s="171"/>
      <c r="D129" s="18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:26" ht="13.5" customHeight="1" x14ac:dyDescent="0.15">
      <c r="A130" s="171"/>
      <c r="B130" s="172"/>
      <c r="C130" s="171"/>
      <c r="D130" s="18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:26" ht="13.5" customHeight="1" x14ac:dyDescent="0.15">
      <c r="A131" s="171"/>
      <c r="B131" s="172"/>
      <c r="C131" s="171"/>
      <c r="D131" s="18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:26" ht="13.5" customHeight="1" x14ac:dyDescent="0.15">
      <c r="A132" s="171"/>
      <c r="B132" s="172"/>
      <c r="C132" s="171"/>
      <c r="D132" s="18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6" ht="13.5" customHeight="1" x14ac:dyDescent="0.15">
      <c r="A133" s="171"/>
      <c r="B133" s="172"/>
      <c r="C133" s="171"/>
      <c r="D133" s="18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:26" ht="13.5" customHeight="1" x14ac:dyDescent="0.15">
      <c r="A134" s="171"/>
      <c r="B134" s="172"/>
      <c r="C134" s="171"/>
      <c r="D134" s="18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:26" ht="13.5" customHeight="1" x14ac:dyDescent="0.15">
      <c r="A135" s="171"/>
      <c r="B135" s="172"/>
      <c r="C135" s="171"/>
      <c r="D135" s="18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:26" ht="13.5" customHeight="1" x14ac:dyDescent="0.15">
      <c r="A136" s="171"/>
      <c r="B136" s="172"/>
      <c r="C136" s="171"/>
      <c r="D136" s="18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spans="1:26" ht="13.5" customHeight="1" x14ac:dyDescent="0.15">
      <c r="A137" s="171"/>
      <c r="B137" s="172"/>
      <c r="C137" s="171"/>
      <c r="D137" s="18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spans="1:26" ht="13.5" customHeight="1" x14ac:dyDescent="0.15">
      <c r="A138" s="171"/>
      <c r="B138" s="172"/>
      <c r="C138" s="171"/>
      <c r="D138" s="18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spans="1:26" ht="13.5" customHeight="1" x14ac:dyDescent="0.15">
      <c r="A139" s="171"/>
      <c r="B139" s="172"/>
      <c r="C139" s="171"/>
      <c r="D139" s="18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spans="1:26" ht="13.5" customHeight="1" x14ac:dyDescent="0.15">
      <c r="A140" s="171"/>
      <c r="B140" s="172"/>
      <c r="C140" s="171"/>
      <c r="D140" s="18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spans="1:26" ht="13.5" customHeight="1" x14ac:dyDescent="0.15">
      <c r="A141" s="171"/>
      <c r="B141" s="172"/>
      <c r="C141" s="171"/>
      <c r="D141" s="18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spans="1:26" ht="13.5" customHeight="1" x14ac:dyDescent="0.15">
      <c r="A142" s="171"/>
      <c r="B142" s="172"/>
      <c r="C142" s="171"/>
      <c r="D142" s="18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spans="1:26" ht="13.5" customHeight="1" x14ac:dyDescent="0.15">
      <c r="A143" s="171"/>
      <c r="B143" s="172"/>
      <c r="C143" s="171"/>
      <c r="D143" s="18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spans="1:26" ht="13.5" customHeight="1" x14ac:dyDescent="0.15">
      <c r="A144" s="171"/>
      <c r="B144" s="172"/>
      <c r="C144" s="171"/>
      <c r="D144" s="18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spans="1:26" ht="13.5" customHeight="1" x14ac:dyDescent="0.15">
      <c r="A145" s="171"/>
      <c r="B145" s="172"/>
      <c r="C145" s="171"/>
      <c r="D145" s="18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spans="1:26" ht="13.5" customHeight="1" x14ac:dyDescent="0.15">
      <c r="A146" s="171"/>
      <c r="B146" s="172"/>
      <c r="C146" s="171"/>
      <c r="D146" s="18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spans="1:26" ht="13.5" customHeight="1" x14ac:dyDescent="0.15">
      <c r="A147" s="171"/>
      <c r="B147" s="172"/>
      <c r="C147" s="171"/>
      <c r="D147" s="18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spans="1:26" ht="13.5" customHeight="1" x14ac:dyDescent="0.15">
      <c r="A148" s="171"/>
      <c r="B148" s="172"/>
      <c r="C148" s="171"/>
      <c r="D148" s="18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spans="1:26" ht="13.5" customHeight="1" x14ac:dyDescent="0.15">
      <c r="A149" s="171"/>
      <c r="B149" s="172"/>
      <c r="C149" s="171"/>
      <c r="D149" s="18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spans="1:26" ht="13.5" customHeight="1" x14ac:dyDescent="0.15">
      <c r="A150" s="171"/>
      <c r="B150" s="172"/>
      <c r="C150" s="171"/>
      <c r="D150" s="18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spans="1:26" ht="13.5" customHeight="1" x14ac:dyDescent="0.15">
      <c r="A151" s="171"/>
      <c r="B151" s="172"/>
      <c r="C151" s="171"/>
      <c r="D151" s="18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spans="1:26" ht="13.5" customHeight="1" x14ac:dyDescent="0.15">
      <c r="A152" s="171"/>
      <c r="B152" s="172"/>
      <c r="C152" s="171"/>
      <c r="D152" s="18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spans="1:26" ht="13.5" customHeight="1" x14ac:dyDescent="0.15">
      <c r="A153" s="171"/>
      <c r="B153" s="172"/>
      <c r="C153" s="171"/>
      <c r="D153" s="18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spans="1:26" ht="13.5" customHeight="1" x14ac:dyDescent="0.15">
      <c r="A154" s="171"/>
      <c r="B154" s="172"/>
      <c r="C154" s="171"/>
      <c r="D154" s="18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spans="1:26" ht="13.5" customHeight="1" x14ac:dyDescent="0.15">
      <c r="A155" s="171"/>
      <c r="B155" s="172"/>
      <c r="C155" s="171"/>
      <c r="D155" s="18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spans="1:26" ht="13.5" customHeight="1" x14ac:dyDescent="0.15">
      <c r="A156" s="171"/>
      <c r="B156" s="172"/>
      <c r="C156" s="171"/>
      <c r="D156" s="18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spans="1:26" ht="13.5" customHeight="1" x14ac:dyDescent="0.15">
      <c r="A157" s="171"/>
      <c r="B157" s="172"/>
      <c r="C157" s="171"/>
      <c r="D157" s="18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spans="1:26" ht="13.5" customHeight="1" x14ac:dyDescent="0.15">
      <c r="A158" s="171"/>
      <c r="B158" s="172"/>
      <c r="C158" s="171"/>
      <c r="D158" s="18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spans="1:26" ht="13.5" customHeight="1" x14ac:dyDescent="0.15">
      <c r="A159" s="171"/>
      <c r="B159" s="172"/>
      <c r="C159" s="171"/>
      <c r="D159" s="18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spans="1:26" ht="13.5" customHeight="1" x14ac:dyDescent="0.15">
      <c r="A160" s="171"/>
      <c r="B160" s="172"/>
      <c r="C160" s="171"/>
      <c r="D160" s="18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spans="1:26" ht="13.5" customHeight="1" x14ac:dyDescent="0.15">
      <c r="A161" s="171"/>
      <c r="B161" s="172"/>
      <c r="C161" s="171"/>
      <c r="D161" s="18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spans="1:26" ht="13.5" customHeight="1" x14ac:dyDescent="0.15">
      <c r="A162" s="171"/>
      <c r="B162" s="172"/>
      <c r="C162" s="171"/>
      <c r="D162" s="18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spans="1:26" ht="13.5" customHeight="1" x14ac:dyDescent="0.15">
      <c r="A163" s="171"/>
      <c r="B163" s="172"/>
      <c r="C163" s="171"/>
      <c r="D163" s="18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spans="1:26" ht="13.5" customHeight="1" x14ac:dyDescent="0.15">
      <c r="A164" s="171"/>
      <c r="B164" s="172"/>
      <c r="C164" s="171"/>
      <c r="D164" s="18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spans="1:26" ht="13.5" customHeight="1" x14ac:dyDescent="0.15">
      <c r="A165" s="171"/>
      <c r="B165" s="172"/>
      <c r="C165" s="171"/>
      <c r="D165" s="18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:26" ht="13.5" customHeight="1" x14ac:dyDescent="0.15">
      <c r="A166" s="171"/>
      <c r="B166" s="172"/>
      <c r="C166" s="171"/>
      <c r="D166" s="18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:26" ht="13.5" customHeight="1" x14ac:dyDescent="0.15">
      <c r="A167" s="171"/>
      <c r="B167" s="172"/>
      <c r="C167" s="171"/>
      <c r="D167" s="18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:26" ht="13.5" customHeight="1" x14ac:dyDescent="0.15">
      <c r="A168" s="171"/>
      <c r="B168" s="172"/>
      <c r="C168" s="171"/>
      <c r="D168" s="18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:26" ht="13.5" customHeight="1" x14ac:dyDescent="0.15">
      <c r="A169" s="171"/>
      <c r="B169" s="172"/>
      <c r="C169" s="171"/>
      <c r="D169" s="18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:26" ht="13.5" customHeight="1" x14ac:dyDescent="0.15">
      <c r="A170" s="171"/>
      <c r="B170" s="172"/>
      <c r="C170" s="171"/>
      <c r="D170" s="18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:26" ht="13.5" customHeight="1" x14ac:dyDescent="0.15">
      <c r="A171" s="171"/>
      <c r="B171" s="172"/>
      <c r="C171" s="171"/>
      <c r="D171" s="18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:26" ht="13.5" customHeight="1" x14ac:dyDescent="0.15">
      <c r="A172" s="171"/>
      <c r="B172" s="172"/>
      <c r="C172" s="171"/>
      <c r="D172" s="18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:26" ht="13.5" customHeight="1" x14ac:dyDescent="0.15">
      <c r="A173" s="171"/>
      <c r="B173" s="172"/>
      <c r="C173" s="171"/>
      <c r="D173" s="18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:26" ht="13.5" customHeight="1" x14ac:dyDescent="0.15">
      <c r="A174" s="171"/>
      <c r="B174" s="172"/>
      <c r="C174" s="171"/>
      <c r="D174" s="18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:26" ht="13.5" customHeight="1" x14ac:dyDescent="0.15">
      <c r="A175" s="171"/>
      <c r="B175" s="172"/>
      <c r="C175" s="171"/>
      <c r="D175" s="18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:26" ht="13.5" customHeight="1" x14ac:dyDescent="0.15">
      <c r="A176" s="171"/>
      <c r="B176" s="172"/>
      <c r="C176" s="171"/>
      <c r="D176" s="18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:26" ht="13.5" customHeight="1" x14ac:dyDescent="0.15">
      <c r="A177" s="171"/>
      <c r="B177" s="172"/>
      <c r="C177" s="171"/>
      <c r="D177" s="18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:26" ht="13.5" customHeight="1" x14ac:dyDescent="0.15">
      <c r="A178" s="171"/>
      <c r="B178" s="172"/>
      <c r="C178" s="171"/>
      <c r="D178" s="18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:26" ht="13.5" customHeight="1" x14ac:dyDescent="0.15">
      <c r="A179" s="171"/>
      <c r="B179" s="172"/>
      <c r="C179" s="171"/>
      <c r="D179" s="18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:26" ht="13.5" customHeight="1" x14ac:dyDescent="0.15">
      <c r="A180" s="171"/>
      <c r="B180" s="172"/>
      <c r="C180" s="171"/>
      <c r="D180" s="18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:26" ht="13.5" customHeight="1" x14ac:dyDescent="0.15">
      <c r="A181" s="171"/>
      <c r="B181" s="172"/>
      <c r="C181" s="171"/>
      <c r="D181" s="18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:26" ht="13.5" customHeight="1" x14ac:dyDescent="0.15">
      <c r="A182" s="171"/>
      <c r="B182" s="172"/>
      <c r="C182" s="171"/>
      <c r="D182" s="18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:26" ht="13.5" customHeight="1" x14ac:dyDescent="0.15">
      <c r="A183" s="171"/>
      <c r="B183" s="172"/>
      <c r="C183" s="171"/>
      <c r="D183" s="18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:26" ht="13.5" customHeight="1" x14ac:dyDescent="0.15">
      <c r="A184" s="171"/>
      <c r="B184" s="172"/>
      <c r="C184" s="171"/>
      <c r="D184" s="18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:26" ht="13.5" customHeight="1" x14ac:dyDescent="0.15">
      <c r="A185" s="171"/>
      <c r="B185" s="172"/>
      <c r="C185" s="171"/>
      <c r="D185" s="18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:26" ht="13.5" customHeight="1" x14ac:dyDescent="0.15">
      <c r="A186" s="171"/>
      <c r="B186" s="172"/>
      <c r="C186" s="171"/>
      <c r="D186" s="18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:26" ht="13.5" customHeight="1" x14ac:dyDescent="0.15">
      <c r="A187" s="171"/>
      <c r="B187" s="172"/>
      <c r="C187" s="171"/>
      <c r="D187" s="18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:26" ht="13.5" customHeight="1" x14ac:dyDescent="0.15">
      <c r="A188" s="171"/>
      <c r="B188" s="172"/>
      <c r="C188" s="171"/>
      <c r="D188" s="18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:26" ht="13.5" customHeight="1" x14ac:dyDescent="0.15">
      <c r="A189" s="171"/>
      <c r="B189" s="172"/>
      <c r="C189" s="171"/>
      <c r="D189" s="18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:26" ht="13.5" customHeight="1" x14ac:dyDescent="0.15">
      <c r="A190" s="171"/>
      <c r="B190" s="172"/>
      <c r="C190" s="171"/>
      <c r="D190" s="18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:26" ht="13.5" customHeight="1" x14ac:dyDescent="0.15">
      <c r="A191" s="171"/>
      <c r="B191" s="172"/>
      <c r="C191" s="171"/>
      <c r="D191" s="18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:26" ht="13.5" customHeight="1" x14ac:dyDescent="0.15">
      <c r="A192" s="171"/>
      <c r="B192" s="172"/>
      <c r="C192" s="171"/>
      <c r="D192" s="18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:26" ht="13.5" customHeight="1" x14ac:dyDescent="0.15">
      <c r="A193" s="171"/>
      <c r="B193" s="172"/>
      <c r="C193" s="171"/>
      <c r="D193" s="18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:26" ht="13.5" customHeight="1" x14ac:dyDescent="0.15">
      <c r="A194" s="171"/>
      <c r="B194" s="172"/>
      <c r="C194" s="171"/>
      <c r="D194" s="18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:26" ht="13.5" customHeight="1" x14ac:dyDescent="0.15">
      <c r="A195" s="171"/>
      <c r="B195" s="172"/>
      <c r="C195" s="171"/>
      <c r="D195" s="18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:26" ht="13.5" customHeight="1" x14ac:dyDescent="0.15">
      <c r="A196" s="171"/>
      <c r="B196" s="172"/>
      <c r="C196" s="171"/>
      <c r="D196" s="18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:26" ht="13.5" customHeight="1" x14ac:dyDescent="0.15">
      <c r="A197" s="171"/>
      <c r="B197" s="172"/>
      <c r="C197" s="171"/>
      <c r="D197" s="18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:26" ht="13.5" customHeight="1" x14ac:dyDescent="0.15">
      <c r="A198" s="171"/>
      <c r="B198" s="172"/>
      <c r="C198" s="171"/>
      <c r="D198" s="18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:26" ht="13.5" customHeight="1" x14ac:dyDescent="0.15">
      <c r="A199" s="171"/>
      <c r="B199" s="172"/>
      <c r="C199" s="171"/>
      <c r="D199" s="18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:26" ht="13.5" customHeight="1" x14ac:dyDescent="0.15">
      <c r="A200" s="171"/>
      <c r="B200" s="172"/>
      <c r="C200" s="171"/>
      <c r="D200" s="18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:26" ht="13.5" customHeight="1" x14ac:dyDescent="0.15">
      <c r="A201" s="171"/>
      <c r="B201" s="172"/>
      <c r="C201" s="171"/>
      <c r="D201" s="18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:26" ht="13.5" customHeight="1" x14ac:dyDescent="0.15">
      <c r="A202" s="171"/>
      <c r="B202" s="172"/>
      <c r="C202" s="171"/>
      <c r="D202" s="18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:26" ht="13.5" customHeight="1" x14ac:dyDescent="0.15">
      <c r="A203" s="171"/>
      <c r="B203" s="172"/>
      <c r="C203" s="171"/>
      <c r="D203" s="18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:26" ht="13.5" customHeight="1" x14ac:dyDescent="0.15">
      <c r="A204" s="171"/>
      <c r="B204" s="172"/>
      <c r="C204" s="171"/>
      <c r="D204" s="18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:26" ht="13.5" customHeight="1" x14ac:dyDescent="0.15">
      <c r="A205" s="171"/>
      <c r="B205" s="172"/>
      <c r="C205" s="171"/>
      <c r="D205" s="18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:26" ht="13.5" customHeight="1" x14ac:dyDescent="0.15">
      <c r="A206" s="171"/>
      <c r="B206" s="172"/>
      <c r="C206" s="171"/>
      <c r="D206" s="18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:26" ht="13.5" customHeight="1" x14ac:dyDescent="0.15">
      <c r="A207" s="171"/>
      <c r="B207" s="172"/>
      <c r="C207" s="171"/>
      <c r="D207" s="18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:26" ht="13.5" customHeight="1" x14ac:dyDescent="0.15">
      <c r="A208" s="171"/>
      <c r="B208" s="172"/>
      <c r="C208" s="171"/>
      <c r="D208" s="18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:26" ht="13.5" customHeight="1" x14ac:dyDescent="0.15">
      <c r="A209" s="171"/>
      <c r="B209" s="172"/>
      <c r="C209" s="171"/>
      <c r="D209" s="18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:26" ht="13.5" customHeight="1" x14ac:dyDescent="0.15">
      <c r="A210" s="171"/>
      <c r="B210" s="172"/>
      <c r="C210" s="171"/>
      <c r="D210" s="18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:26" ht="13.5" customHeight="1" x14ac:dyDescent="0.15">
      <c r="A211" s="171"/>
      <c r="B211" s="172"/>
      <c r="C211" s="171"/>
      <c r="D211" s="18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:26" ht="13.5" customHeight="1" x14ac:dyDescent="0.15">
      <c r="A212" s="171"/>
      <c r="B212" s="172"/>
      <c r="C212" s="171"/>
      <c r="D212" s="18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:26" ht="13.5" customHeight="1" x14ac:dyDescent="0.15">
      <c r="A213" s="171"/>
      <c r="B213" s="172"/>
      <c r="C213" s="171"/>
      <c r="D213" s="18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:26" ht="13.5" customHeight="1" x14ac:dyDescent="0.15">
      <c r="A214" s="171"/>
      <c r="B214" s="172"/>
      <c r="C214" s="171"/>
      <c r="D214" s="18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:26" ht="13.5" customHeight="1" x14ac:dyDescent="0.15">
      <c r="A215" s="171"/>
      <c r="B215" s="172"/>
      <c r="C215" s="171"/>
      <c r="D215" s="18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:26" ht="13.5" customHeight="1" x14ac:dyDescent="0.15">
      <c r="A216" s="171"/>
      <c r="B216" s="172"/>
      <c r="C216" s="171"/>
      <c r="D216" s="18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:26" ht="13.5" customHeight="1" x14ac:dyDescent="0.15">
      <c r="A217" s="171"/>
      <c r="B217" s="172"/>
      <c r="C217" s="171"/>
      <c r="D217" s="18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:26" ht="13.5" customHeight="1" x14ac:dyDescent="0.15">
      <c r="A218" s="171"/>
      <c r="B218" s="172"/>
      <c r="C218" s="171"/>
      <c r="D218" s="18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:26" ht="13.5" customHeight="1" x14ac:dyDescent="0.15">
      <c r="A219" s="171"/>
      <c r="B219" s="172"/>
      <c r="C219" s="171"/>
      <c r="D219" s="18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:26" ht="13.5" customHeight="1" x14ac:dyDescent="0.15">
      <c r="A220" s="171"/>
      <c r="B220" s="172"/>
      <c r="C220" s="171"/>
      <c r="D220" s="18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:26" ht="13.5" customHeight="1" x14ac:dyDescent="0.15">
      <c r="A221" s="171"/>
      <c r="B221" s="172"/>
      <c r="C221" s="171"/>
      <c r="D221" s="18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:26" ht="13.5" customHeight="1" x14ac:dyDescent="0.15">
      <c r="A222" s="171"/>
      <c r="B222" s="172"/>
      <c r="C222" s="171"/>
      <c r="D222" s="18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:26" ht="13.5" customHeight="1" x14ac:dyDescent="0.15">
      <c r="A223" s="171"/>
      <c r="B223" s="172"/>
      <c r="C223" s="171"/>
      <c r="D223" s="18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:26" ht="13.5" customHeight="1" x14ac:dyDescent="0.15">
      <c r="A224" s="171"/>
      <c r="B224" s="172"/>
      <c r="C224" s="171"/>
      <c r="D224" s="18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:26" ht="13.5" customHeight="1" x14ac:dyDescent="0.15">
      <c r="A225" s="171"/>
      <c r="B225" s="172"/>
      <c r="C225" s="171"/>
      <c r="D225" s="18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:26" ht="13.5" customHeight="1" x14ac:dyDescent="0.15">
      <c r="A226" s="171"/>
      <c r="B226" s="172"/>
      <c r="C226" s="171"/>
      <c r="D226" s="18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:26" ht="13.5" customHeight="1" x14ac:dyDescent="0.15">
      <c r="A227" s="171"/>
      <c r="B227" s="172"/>
      <c r="C227" s="171"/>
      <c r="D227" s="18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spans="1:26" ht="13.5" customHeight="1" x14ac:dyDescent="0.15">
      <c r="A228" s="171"/>
      <c r="B228" s="172"/>
      <c r="C228" s="171"/>
      <c r="D228" s="18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spans="1:26" ht="13.5" customHeight="1" x14ac:dyDescent="0.15">
      <c r="A229" s="171"/>
      <c r="B229" s="172"/>
      <c r="C229" s="171"/>
      <c r="D229" s="18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spans="1:26" ht="13.5" customHeight="1" x14ac:dyDescent="0.15">
      <c r="A230" s="171"/>
      <c r="B230" s="172"/>
      <c r="C230" s="171"/>
      <c r="D230" s="18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spans="1:26" ht="13.5" customHeight="1" x14ac:dyDescent="0.15">
      <c r="A231" s="171"/>
      <c r="B231" s="172"/>
      <c r="C231" s="171"/>
      <c r="D231" s="18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spans="1:26" ht="13.5" customHeight="1" x14ac:dyDescent="0.15">
      <c r="A232" s="171"/>
      <c r="B232" s="172"/>
      <c r="C232" s="171"/>
      <c r="D232" s="18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spans="1:26" ht="13.5" customHeight="1" x14ac:dyDescent="0.15">
      <c r="A233" s="171"/>
      <c r="B233" s="172"/>
      <c r="C233" s="171"/>
      <c r="D233" s="18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spans="1:26" ht="13.5" customHeight="1" x14ac:dyDescent="0.15">
      <c r="A234" s="171"/>
      <c r="B234" s="172"/>
      <c r="C234" s="171"/>
      <c r="D234" s="18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spans="1:26" ht="13.5" customHeight="1" x14ac:dyDescent="0.15">
      <c r="A235" s="171"/>
      <c r="B235" s="172"/>
      <c r="C235" s="171"/>
      <c r="D235" s="18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spans="1:26" ht="13.5" customHeight="1" x14ac:dyDescent="0.15">
      <c r="A236" s="171"/>
      <c r="B236" s="172"/>
      <c r="C236" s="171"/>
      <c r="D236" s="18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spans="1:26" ht="13.5" customHeight="1" x14ac:dyDescent="0.15">
      <c r="A237" s="171"/>
      <c r="B237" s="172"/>
      <c r="C237" s="171"/>
      <c r="D237" s="18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spans="1:26" ht="13.5" customHeight="1" x14ac:dyDescent="0.15">
      <c r="A238" s="171"/>
      <c r="B238" s="172"/>
      <c r="C238" s="171"/>
      <c r="D238" s="18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spans="1:26" ht="13.5" customHeight="1" x14ac:dyDescent="0.15">
      <c r="A239" s="171"/>
      <c r="B239" s="172"/>
      <c r="C239" s="171"/>
      <c r="D239" s="18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spans="1:26" ht="13.5" customHeight="1" x14ac:dyDescent="0.15">
      <c r="A240" s="171"/>
      <c r="B240" s="172"/>
      <c r="C240" s="171"/>
      <c r="D240" s="18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spans="1:26" ht="13.5" customHeight="1" x14ac:dyDescent="0.15">
      <c r="A241" s="171"/>
      <c r="B241" s="172"/>
      <c r="C241" s="171"/>
      <c r="D241" s="18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spans="1:26" ht="13.5" customHeight="1" x14ac:dyDescent="0.15">
      <c r="A242" s="171"/>
      <c r="B242" s="172"/>
      <c r="C242" s="171"/>
      <c r="D242" s="18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spans="1:26" ht="13.5" customHeight="1" x14ac:dyDescent="0.15">
      <c r="A243" s="171"/>
      <c r="B243" s="172"/>
      <c r="C243" s="171"/>
      <c r="D243" s="18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spans="1:26" ht="13.5" customHeight="1" x14ac:dyDescent="0.15">
      <c r="A244" s="171"/>
      <c r="B244" s="172"/>
      <c r="C244" s="171"/>
      <c r="D244" s="18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spans="1:26" ht="13.5" customHeight="1" x14ac:dyDescent="0.15">
      <c r="A245" s="171"/>
      <c r="B245" s="172"/>
      <c r="C245" s="171"/>
      <c r="D245" s="18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8">
    <mergeCell ref="B44:D44"/>
    <mergeCell ref="B45:D45"/>
    <mergeCell ref="A6:B6"/>
    <mergeCell ref="C6:E6"/>
    <mergeCell ref="F6:K6"/>
    <mergeCell ref="A7:B7"/>
    <mergeCell ref="C7:E7"/>
    <mergeCell ref="F7:K7"/>
    <mergeCell ref="O6:T6"/>
    <mergeCell ref="O7:T7"/>
    <mergeCell ref="D16:E16"/>
    <mergeCell ref="B42:D42"/>
    <mergeCell ref="B43:D43"/>
    <mergeCell ref="L6:N6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43:O43" xr:uid="{00000000-0002-0000-0500-000000000000}">
      <formula1>"P,F"</formula1>
    </dataValidation>
    <dataValidation type="list" allowBlank="1" showInputMessage="1" showErrorMessage="1" prompt=" - " sqref="F10:O41" xr:uid="{00000000-0002-0000-0500-000001000000}">
      <formula1>"O"</formula1>
    </dataValidation>
    <dataValidation type="list" allowBlank="1" showInputMessage="1" showErrorMessage="1" prompt=" - " sqref="F42:O42" xr:uid="{00000000-0002-0000-05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625" defaultRowHeight="15" customHeight="1" x14ac:dyDescent="0.15"/>
  <cols>
    <col min="1" max="1" width="6.75" customWidth="1"/>
    <col min="2" max="2" width="13.375" customWidth="1"/>
    <col min="3" max="3" width="10.75" customWidth="1"/>
    <col min="4" max="4" width="11.375" customWidth="1"/>
    <col min="5" max="5" width="1.75" hidden="1" customWidth="1"/>
    <col min="6" max="6" width="4.25" customWidth="1"/>
    <col min="7" max="7" width="4.5" customWidth="1"/>
    <col min="8" max="8" width="5" customWidth="1"/>
    <col min="9" max="9" width="5.5" customWidth="1"/>
    <col min="10" max="10" width="4.5" customWidth="1"/>
    <col min="11" max="12" width="5.25" customWidth="1"/>
    <col min="13" max="13" width="5.125" customWidth="1"/>
    <col min="14" max="14" width="5.25" customWidth="1"/>
    <col min="15" max="15" width="4.375" customWidth="1"/>
    <col min="16" max="16" width="5.375" customWidth="1"/>
    <col min="17" max="17" width="4" customWidth="1"/>
    <col min="18" max="18" width="4.625" customWidth="1"/>
    <col min="19" max="19" width="4" customWidth="1"/>
    <col min="20" max="20" width="5.75" customWidth="1"/>
    <col min="21" max="21" width="2.875" customWidth="1"/>
    <col min="22" max="23" width="9" customWidth="1"/>
    <col min="24" max="26" width="8" customWidth="1"/>
  </cols>
  <sheetData>
    <row r="1" spans="1:26" ht="13.5" customHeight="1" x14ac:dyDescent="0.15">
      <c r="A1" s="171"/>
      <c r="B1" s="172"/>
      <c r="C1" s="171"/>
      <c r="D1" s="18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spans="1:26" ht="13.5" customHeight="1" x14ac:dyDescent="0.15">
      <c r="A2" s="312" t="s">
        <v>106</v>
      </c>
      <c r="B2" s="277"/>
      <c r="C2" s="313" t="s">
        <v>86</v>
      </c>
      <c r="D2" s="277"/>
      <c r="E2" s="171"/>
      <c r="F2" s="314" t="s">
        <v>77</v>
      </c>
      <c r="G2" s="276"/>
      <c r="H2" s="276"/>
      <c r="I2" s="276"/>
      <c r="J2" s="276"/>
      <c r="K2" s="277"/>
      <c r="L2" s="313" t="s">
        <v>86</v>
      </c>
      <c r="M2" s="276"/>
      <c r="N2" s="276"/>
      <c r="O2" s="276"/>
      <c r="P2" s="276"/>
      <c r="Q2" s="276"/>
      <c r="R2" s="276"/>
      <c r="S2" s="276"/>
      <c r="T2" s="277"/>
      <c r="U2" s="171"/>
      <c r="V2" s="171"/>
      <c r="W2" s="171"/>
      <c r="X2" s="171"/>
      <c r="Y2" s="171"/>
      <c r="Z2" s="171"/>
    </row>
    <row r="3" spans="1:26" ht="13.5" customHeight="1" x14ac:dyDescent="0.15">
      <c r="A3" s="319" t="s">
        <v>107</v>
      </c>
      <c r="B3" s="252"/>
      <c r="C3" s="315" t="s">
        <v>49</v>
      </c>
      <c r="D3" s="284"/>
      <c r="E3" s="285"/>
      <c r="F3" s="320" t="s">
        <v>108</v>
      </c>
      <c r="G3" s="251"/>
      <c r="H3" s="251"/>
      <c r="I3" s="251"/>
      <c r="J3" s="251"/>
      <c r="K3" s="252"/>
      <c r="L3" s="317" t="s">
        <v>49</v>
      </c>
      <c r="M3" s="284"/>
      <c r="N3" s="284"/>
      <c r="O3" s="175"/>
      <c r="P3" s="175"/>
      <c r="Q3" s="175"/>
      <c r="R3" s="175"/>
      <c r="S3" s="175"/>
      <c r="T3" s="176"/>
      <c r="U3" s="171"/>
      <c r="V3" s="171"/>
      <c r="W3" s="171"/>
      <c r="X3" s="171"/>
      <c r="Y3" s="171"/>
      <c r="Z3" s="171"/>
    </row>
    <row r="4" spans="1:26" ht="13.5" customHeight="1" x14ac:dyDescent="0.15">
      <c r="A4" s="319" t="s">
        <v>109</v>
      </c>
      <c r="B4" s="252"/>
      <c r="C4" s="290">
        <v>300</v>
      </c>
      <c r="D4" s="251"/>
      <c r="E4" s="177"/>
      <c r="F4" s="320" t="s">
        <v>110</v>
      </c>
      <c r="G4" s="251"/>
      <c r="H4" s="251"/>
      <c r="I4" s="251"/>
      <c r="J4" s="251"/>
      <c r="K4" s="252"/>
      <c r="L4" s="292">
        <f>IF(FunctionList!E6&lt;&gt;"N/A",SUM(C4*FunctionList!E6/1000,-O7),"N/A")</f>
        <v>0.69999999999999929</v>
      </c>
      <c r="M4" s="251"/>
      <c r="N4" s="251"/>
      <c r="O4" s="251"/>
      <c r="P4" s="251"/>
      <c r="Q4" s="251"/>
      <c r="R4" s="251"/>
      <c r="S4" s="251"/>
      <c r="T4" s="293"/>
      <c r="U4" s="171"/>
      <c r="V4" s="178"/>
      <c r="W4" s="171"/>
      <c r="X4" s="171"/>
      <c r="Y4" s="171"/>
      <c r="Z4" s="171"/>
    </row>
    <row r="5" spans="1:26" ht="13.5" customHeight="1" x14ac:dyDescent="0.15">
      <c r="A5" s="319" t="s">
        <v>111</v>
      </c>
      <c r="B5" s="252"/>
      <c r="C5" s="321" t="s">
        <v>140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93"/>
      <c r="U5" s="171"/>
      <c r="V5" s="171"/>
      <c r="W5" s="171"/>
      <c r="X5" s="171"/>
      <c r="Y5" s="171"/>
      <c r="Z5" s="171"/>
    </row>
    <row r="6" spans="1:26" ht="13.5" customHeight="1" x14ac:dyDescent="0.15">
      <c r="A6" s="308" t="s">
        <v>92</v>
      </c>
      <c r="B6" s="252"/>
      <c r="C6" s="295" t="s">
        <v>93</v>
      </c>
      <c r="D6" s="251"/>
      <c r="E6" s="252"/>
      <c r="F6" s="295" t="s">
        <v>94</v>
      </c>
      <c r="G6" s="251"/>
      <c r="H6" s="251"/>
      <c r="I6" s="251"/>
      <c r="J6" s="251"/>
      <c r="K6" s="252"/>
      <c r="L6" s="309" t="s">
        <v>112</v>
      </c>
      <c r="M6" s="251"/>
      <c r="N6" s="251"/>
      <c r="O6" s="295" t="s">
        <v>97</v>
      </c>
      <c r="P6" s="251"/>
      <c r="Q6" s="251"/>
      <c r="R6" s="251"/>
      <c r="S6" s="251"/>
      <c r="T6" s="293"/>
      <c r="U6" s="171"/>
      <c r="V6" s="178"/>
      <c r="W6" s="171"/>
      <c r="X6" s="171"/>
      <c r="Y6" s="171"/>
      <c r="Z6" s="171"/>
    </row>
    <row r="7" spans="1:26" ht="13.5" customHeight="1" x14ac:dyDescent="0.15">
      <c r="A7" s="310">
        <f>COUNTIF(F50:HQ50,"P")</f>
        <v>6</v>
      </c>
      <c r="B7" s="311"/>
      <c r="C7" s="296">
        <f>COUNTIF(F50:HQ50,"F")</f>
        <v>2</v>
      </c>
      <c r="D7" s="297"/>
      <c r="E7" s="311"/>
      <c r="F7" s="296">
        <f>SUM(O7,-A7,-C7)</f>
        <v>0</v>
      </c>
      <c r="G7" s="297"/>
      <c r="H7" s="297"/>
      <c r="I7" s="297"/>
      <c r="J7" s="297"/>
      <c r="K7" s="311"/>
      <c r="L7" s="179">
        <f>COUNTIF(E49:HQ49,"N")</f>
        <v>2</v>
      </c>
      <c r="M7" s="179">
        <f>COUNTIF(E49:HQ49,"A")</f>
        <v>6</v>
      </c>
      <c r="N7" s="179">
        <f>COUNTIF(E49:HQ49,"B")</f>
        <v>0</v>
      </c>
      <c r="O7" s="296">
        <f>COUNTA(E9:HT9)</f>
        <v>8</v>
      </c>
      <c r="P7" s="297"/>
      <c r="Q7" s="297"/>
      <c r="R7" s="297"/>
      <c r="S7" s="297"/>
      <c r="T7" s="298"/>
      <c r="U7" s="180"/>
      <c r="V7" s="171"/>
      <c r="W7" s="171"/>
      <c r="X7" s="171"/>
      <c r="Y7" s="171"/>
      <c r="Z7" s="171"/>
    </row>
    <row r="8" spans="1:26" ht="11.25" customHeight="1" x14ac:dyDescent="0.15">
      <c r="A8" s="171"/>
      <c r="B8" s="172"/>
      <c r="C8" s="171"/>
      <c r="D8" s="18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spans="1:26" ht="46.5" customHeight="1" x14ac:dyDescent="0.15">
      <c r="A9" s="182"/>
      <c r="B9" s="234"/>
      <c r="C9" s="235"/>
      <c r="D9" s="236"/>
      <c r="E9" s="235"/>
      <c r="F9" s="237" t="s">
        <v>113</v>
      </c>
      <c r="G9" s="237" t="s">
        <v>114</v>
      </c>
      <c r="H9" s="237" t="s">
        <v>115</v>
      </c>
      <c r="I9" s="237" t="s">
        <v>141</v>
      </c>
      <c r="J9" s="237" t="s">
        <v>142</v>
      </c>
      <c r="K9" s="237" t="s">
        <v>143</v>
      </c>
      <c r="L9" s="237" t="s">
        <v>144</v>
      </c>
      <c r="M9" s="237" t="s">
        <v>145</v>
      </c>
      <c r="N9" s="187"/>
      <c r="O9" s="178"/>
      <c r="P9" s="171"/>
      <c r="Q9" s="171"/>
      <c r="R9" s="171"/>
      <c r="S9" s="171"/>
    </row>
    <row r="10" spans="1:26" ht="13.5" customHeight="1" x14ac:dyDescent="0.3">
      <c r="A10" s="188" t="s">
        <v>116</v>
      </c>
      <c r="B10" s="189" t="s">
        <v>117</v>
      </c>
      <c r="C10" s="190"/>
      <c r="D10" s="191"/>
      <c r="E10" s="192"/>
      <c r="F10" s="193"/>
      <c r="G10" s="193"/>
      <c r="H10" s="193"/>
      <c r="I10" s="193"/>
      <c r="J10" s="193"/>
      <c r="K10" s="193"/>
      <c r="L10" s="193"/>
      <c r="M10" s="193"/>
      <c r="N10" s="171"/>
      <c r="O10" s="171"/>
      <c r="P10" s="171"/>
      <c r="Q10" s="171"/>
      <c r="R10" s="171"/>
      <c r="S10" s="171"/>
    </row>
    <row r="11" spans="1:26" ht="13.5" customHeight="1" x14ac:dyDescent="0.3">
      <c r="A11" s="194"/>
      <c r="B11" s="189"/>
      <c r="C11" s="190"/>
      <c r="D11" s="191" t="s">
        <v>118</v>
      </c>
      <c r="E11" s="195"/>
      <c r="F11" s="193" t="s">
        <v>119</v>
      </c>
      <c r="G11" s="193" t="s">
        <v>119</v>
      </c>
      <c r="H11" s="193" t="s">
        <v>119</v>
      </c>
      <c r="I11" s="193" t="s">
        <v>119</v>
      </c>
      <c r="J11" s="193" t="s">
        <v>119</v>
      </c>
      <c r="K11" s="193" t="s">
        <v>119</v>
      </c>
      <c r="L11" s="193" t="s">
        <v>119</v>
      </c>
      <c r="M11" s="193" t="s">
        <v>119</v>
      </c>
      <c r="N11" s="171"/>
      <c r="O11" s="178"/>
      <c r="P11" s="171"/>
      <c r="Q11" s="171"/>
      <c r="R11" s="171"/>
      <c r="S11" s="171"/>
    </row>
    <row r="12" spans="1:26" ht="13.5" customHeight="1" x14ac:dyDescent="0.3">
      <c r="A12" s="194"/>
      <c r="B12" s="189"/>
      <c r="C12" s="190"/>
      <c r="D12" s="191" t="s">
        <v>172</v>
      </c>
      <c r="E12" s="195"/>
      <c r="F12" s="193" t="s">
        <v>119</v>
      </c>
      <c r="G12" s="193" t="s">
        <v>119</v>
      </c>
      <c r="H12" s="193" t="s">
        <v>119</v>
      </c>
      <c r="I12" s="193" t="s">
        <v>119</v>
      </c>
      <c r="J12" s="193" t="s">
        <v>119</v>
      </c>
      <c r="K12" s="193" t="s">
        <v>119</v>
      </c>
      <c r="L12" s="193"/>
      <c r="M12" s="193" t="s">
        <v>119</v>
      </c>
      <c r="N12" s="171"/>
      <c r="O12" s="171"/>
      <c r="P12" s="171"/>
      <c r="Q12" s="171"/>
      <c r="R12" s="171"/>
      <c r="S12" s="171"/>
    </row>
    <row r="13" spans="1:26" ht="13.5" customHeight="1" x14ac:dyDescent="0.3">
      <c r="A13" s="194"/>
      <c r="B13" s="189"/>
      <c r="C13" s="190"/>
      <c r="D13" s="191"/>
      <c r="E13" s="196"/>
      <c r="F13" s="193"/>
      <c r="G13" s="193"/>
      <c r="H13" s="193"/>
      <c r="I13" s="193"/>
      <c r="J13" s="193"/>
      <c r="K13" s="193"/>
      <c r="L13" s="193"/>
      <c r="M13" s="193"/>
      <c r="N13" s="171"/>
      <c r="O13" s="171"/>
      <c r="P13" s="171"/>
      <c r="Q13" s="171"/>
      <c r="R13" s="171"/>
      <c r="S13" s="171"/>
    </row>
    <row r="14" spans="1:26" ht="13.5" customHeight="1" x14ac:dyDescent="0.3">
      <c r="A14" s="194"/>
      <c r="B14" s="189" t="s">
        <v>173</v>
      </c>
      <c r="C14" s="190"/>
      <c r="D14" s="191"/>
      <c r="E14" s="198"/>
      <c r="F14" s="193"/>
      <c r="G14" s="193"/>
      <c r="H14" s="193"/>
      <c r="I14" s="193"/>
      <c r="J14" s="193"/>
      <c r="K14" s="193"/>
      <c r="L14" s="193"/>
      <c r="M14" s="193"/>
      <c r="N14" s="171"/>
      <c r="O14" s="171"/>
      <c r="P14" s="171"/>
      <c r="Q14" s="171"/>
      <c r="R14" s="171"/>
      <c r="S14" s="171"/>
    </row>
    <row r="15" spans="1:26" ht="16.5" x14ac:dyDescent="0.3">
      <c r="A15" s="194"/>
      <c r="B15" s="189"/>
      <c r="C15" s="190"/>
      <c r="D15" s="191" t="s">
        <v>151</v>
      </c>
      <c r="E15" s="198"/>
      <c r="F15" s="193" t="s">
        <v>119</v>
      </c>
      <c r="G15" s="193"/>
      <c r="H15" s="193"/>
      <c r="I15" s="193"/>
      <c r="J15" s="193"/>
      <c r="K15" s="193"/>
      <c r="L15" s="193"/>
      <c r="M15" s="193" t="s">
        <v>119</v>
      </c>
      <c r="N15" s="171"/>
      <c r="O15" s="171"/>
      <c r="P15" s="178"/>
      <c r="Q15" s="171"/>
      <c r="R15" s="171"/>
      <c r="S15" s="171"/>
    </row>
    <row r="16" spans="1:26" ht="13.5" customHeight="1" x14ac:dyDescent="0.3">
      <c r="A16" s="194"/>
      <c r="B16" s="189"/>
      <c r="C16" s="190"/>
      <c r="D16" s="191" t="s">
        <v>152</v>
      </c>
      <c r="E16" s="198"/>
      <c r="F16" s="193"/>
      <c r="G16" s="193" t="s">
        <v>119</v>
      </c>
      <c r="H16" s="193"/>
      <c r="I16" s="193"/>
      <c r="J16" s="193"/>
      <c r="K16" s="193"/>
      <c r="L16" s="193"/>
      <c r="M16" s="193"/>
      <c r="N16" s="171"/>
      <c r="O16" s="171"/>
      <c r="P16" s="171"/>
      <c r="Q16" s="171"/>
      <c r="R16" s="171"/>
      <c r="S16" s="171"/>
    </row>
    <row r="17" spans="1:19" ht="13.5" customHeight="1" x14ac:dyDescent="0.3">
      <c r="A17" s="194"/>
      <c r="B17" s="189"/>
      <c r="C17" s="190"/>
      <c r="D17" s="191" t="s">
        <v>174</v>
      </c>
      <c r="E17" s="198"/>
      <c r="F17" s="193"/>
      <c r="G17" s="193"/>
      <c r="H17" s="193" t="s">
        <v>119</v>
      </c>
      <c r="I17" s="193" t="s">
        <v>119</v>
      </c>
      <c r="J17" s="193"/>
      <c r="K17" s="193" t="s">
        <v>119</v>
      </c>
      <c r="L17" s="193" t="s">
        <v>119</v>
      </c>
      <c r="M17" s="193"/>
      <c r="N17" s="199"/>
      <c r="O17" s="171"/>
      <c r="P17" s="171"/>
      <c r="Q17" s="171"/>
      <c r="R17" s="171"/>
      <c r="S17" s="171"/>
    </row>
    <row r="18" spans="1:19" ht="13.5" customHeight="1" x14ac:dyDescent="0.3">
      <c r="A18" s="194"/>
      <c r="B18" s="189"/>
      <c r="C18" s="190"/>
      <c r="D18" s="191" t="s">
        <v>153</v>
      </c>
      <c r="E18" s="198"/>
      <c r="F18" s="193"/>
      <c r="G18" s="193"/>
      <c r="H18" s="193"/>
      <c r="I18" s="193"/>
      <c r="J18" s="193" t="s">
        <v>119</v>
      </c>
      <c r="K18" s="193"/>
      <c r="L18" s="193"/>
      <c r="M18" s="193"/>
      <c r="N18" s="199"/>
      <c r="O18" s="171"/>
      <c r="P18" s="171"/>
      <c r="Q18" s="171"/>
      <c r="R18" s="171"/>
      <c r="S18" s="171"/>
    </row>
    <row r="19" spans="1:19" ht="13.5" customHeight="1" x14ac:dyDescent="0.3">
      <c r="A19" s="194"/>
      <c r="B19" s="189" t="s">
        <v>175</v>
      </c>
      <c r="C19" s="190"/>
      <c r="D19" s="191"/>
      <c r="E19" s="198"/>
      <c r="F19" s="193"/>
      <c r="G19" s="193"/>
      <c r="H19" s="193"/>
      <c r="I19" s="193"/>
      <c r="J19" s="193"/>
      <c r="K19" s="193"/>
      <c r="L19" s="193"/>
      <c r="M19" s="193"/>
      <c r="N19" s="199"/>
      <c r="O19" s="171"/>
      <c r="P19" s="171"/>
      <c r="Q19" s="171"/>
      <c r="R19" s="171"/>
      <c r="S19" s="171"/>
    </row>
    <row r="20" spans="1:19" ht="13.5" customHeight="1" x14ac:dyDescent="0.3">
      <c r="A20" s="194"/>
      <c r="B20" s="189"/>
      <c r="C20" s="190"/>
      <c r="D20" s="322" t="s">
        <v>176</v>
      </c>
      <c r="E20" s="323"/>
      <c r="F20" s="193" t="s">
        <v>119</v>
      </c>
      <c r="G20" s="193" t="s">
        <v>119</v>
      </c>
      <c r="H20" s="193" t="s">
        <v>119</v>
      </c>
      <c r="I20" s="193" t="s">
        <v>119</v>
      </c>
      <c r="J20" s="193" t="s">
        <v>119</v>
      </c>
      <c r="K20" s="193"/>
      <c r="L20" s="193"/>
      <c r="M20" s="193" t="s">
        <v>119</v>
      </c>
      <c r="N20" s="171"/>
      <c r="O20" s="171"/>
      <c r="P20" s="171"/>
      <c r="Q20" s="171"/>
      <c r="R20" s="171"/>
      <c r="S20" s="171"/>
    </row>
    <row r="21" spans="1:19" ht="13.5" customHeight="1" x14ac:dyDescent="0.3">
      <c r="A21" s="194"/>
      <c r="B21" s="189"/>
      <c r="C21" s="190"/>
      <c r="D21" s="191" t="s">
        <v>177</v>
      </c>
      <c r="E21" s="198"/>
      <c r="F21" s="193"/>
      <c r="G21" s="193"/>
      <c r="H21" s="193"/>
      <c r="I21" s="193"/>
      <c r="J21" s="193"/>
      <c r="K21" s="193" t="s">
        <v>119</v>
      </c>
      <c r="L21" s="193"/>
      <c r="M21" s="193"/>
      <c r="N21" s="171"/>
      <c r="O21" s="171"/>
      <c r="P21" s="171"/>
      <c r="Q21" s="171"/>
      <c r="R21" s="171"/>
      <c r="S21" s="171"/>
    </row>
    <row r="22" spans="1:19" ht="13.5" customHeight="1" x14ac:dyDescent="0.3">
      <c r="A22" s="194"/>
      <c r="B22" s="189"/>
      <c r="C22" s="190"/>
      <c r="D22" s="191" t="s">
        <v>178</v>
      </c>
      <c r="E22" s="198"/>
      <c r="F22" s="193"/>
      <c r="G22" s="193"/>
      <c r="H22" s="193"/>
      <c r="I22" s="193"/>
      <c r="J22" s="193"/>
      <c r="K22" s="193"/>
      <c r="L22" s="193" t="s">
        <v>119</v>
      </c>
      <c r="M22" s="193"/>
      <c r="N22" s="171"/>
      <c r="O22" s="171"/>
      <c r="P22" s="171"/>
      <c r="Q22" s="171"/>
      <c r="R22" s="171"/>
      <c r="S22" s="171"/>
    </row>
    <row r="23" spans="1:19" ht="13.5" customHeight="1" x14ac:dyDescent="0.3">
      <c r="A23" s="194"/>
      <c r="B23" s="189" t="s">
        <v>179</v>
      </c>
      <c r="C23" s="190"/>
      <c r="D23" s="191"/>
      <c r="E23" s="198"/>
      <c r="F23" s="193"/>
      <c r="G23" s="193"/>
      <c r="H23" s="193"/>
      <c r="I23" s="193"/>
      <c r="J23" s="193"/>
      <c r="K23" s="193"/>
      <c r="L23" s="193"/>
      <c r="M23" s="193"/>
      <c r="N23" s="171"/>
      <c r="O23" s="171"/>
      <c r="P23" s="171"/>
      <c r="Q23" s="171"/>
      <c r="R23" s="171"/>
      <c r="S23" s="171"/>
    </row>
    <row r="24" spans="1:19" ht="13.5" customHeight="1" x14ac:dyDescent="0.3">
      <c r="A24" s="194"/>
      <c r="B24" s="189"/>
      <c r="C24" s="190"/>
      <c r="D24" s="191">
        <v>0</v>
      </c>
      <c r="E24" s="198"/>
      <c r="F24" s="193"/>
      <c r="G24" s="193"/>
      <c r="H24" s="193" t="s">
        <v>119</v>
      </c>
      <c r="I24" s="193" t="s">
        <v>119</v>
      </c>
      <c r="J24" s="193" t="s">
        <v>119</v>
      </c>
      <c r="K24" s="193"/>
      <c r="L24" s="193"/>
      <c r="M24" s="193" t="s">
        <v>119</v>
      </c>
      <c r="N24" s="171"/>
      <c r="O24" s="171"/>
      <c r="P24" s="171"/>
      <c r="Q24" s="171"/>
      <c r="R24" s="171"/>
      <c r="S24" s="171"/>
    </row>
    <row r="25" spans="1:19" ht="13.5" customHeight="1" x14ac:dyDescent="0.3">
      <c r="A25" s="194"/>
      <c r="B25" s="189"/>
      <c r="C25" s="190"/>
      <c r="D25" s="191">
        <v>1</v>
      </c>
      <c r="E25" s="198"/>
      <c r="F25" s="193" t="s">
        <v>119</v>
      </c>
      <c r="G25" s="193" t="s">
        <v>119</v>
      </c>
      <c r="H25" s="193"/>
      <c r="I25" s="193"/>
      <c r="J25" s="193"/>
      <c r="K25" s="193" t="s">
        <v>119</v>
      </c>
      <c r="L25" s="193" t="s">
        <v>119</v>
      </c>
      <c r="M25" s="193"/>
      <c r="N25" s="171"/>
      <c r="O25" s="171"/>
      <c r="P25" s="171"/>
      <c r="Q25" s="171"/>
      <c r="R25" s="171"/>
      <c r="S25" s="171"/>
    </row>
    <row r="26" spans="1:19" ht="13.5" customHeight="1" x14ac:dyDescent="0.3">
      <c r="A26" s="194"/>
      <c r="B26" s="189"/>
      <c r="C26" s="190"/>
      <c r="D26" s="191"/>
      <c r="E26" s="198"/>
      <c r="F26" s="193"/>
      <c r="G26" s="193"/>
      <c r="H26" s="193"/>
      <c r="I26" s="193"/>
      <c r="J26" s="193"/>
      <c r="K26" s="193"/>
      <c r="L26" s="193"/>
      <c r="M26" s="193"/>
      <c r="N26" s="171"/>
      <c r="O26" s="171"/>
      <c r="P26" s="171"/>
      <c r="Q26" s="171"/>
      <c r="R26" s="171"/>
      <c r="S26" s="171"/>
    </row>
    <row r="27" spans="1:19" ht="13.5" customHeight="1" x14ac:dyDescent="0.3">
      <c r="A27" s="194"/>
      <c r="B27" s="189" t="s">
        <v>180</v>
      </c>
      <c r="C27" s="190"/>
      <c r="D27" s="191"/>
      <c r="E27" s="198"/>
      <c r="F27" s="193"/>
      <c r="G27" s="193"/>
      <c r="H27" s="193"/>
      <c r="I27" s="193"/>
      <c r="J27" s="193"/>
      <c r="K27" s="193"/>
      <c r="L27" s="193"/>
      <c r="M27" s="193"/>
      <c r="N27" s="171"/>
      <c r="O27" s="171"/>
      <c r="P27" s="171"/>
      <c r="Q27" s="171"/>
      <c r="R27" s="171"/>
      <c r="S27" s="171"/>
    </row>
    <row r="28" spans="1:19" ht="13.5" customHeight="1" x14ac:dyDescent="0.3">
      <c r="A28" s="194"/>
      <c r="B28" s="189"/>
      <c r="C28" s="190"/>
      <c r="D28" s="191" t="s">
        <v>156</v>
      </c>
      <c r="E28" s="198"/>
      <c r="F28" s="193"/>
      <c r="G28" s="193"/>
      <c r="H28" s="193"/>
      <c r="I28" s="193"/>
      <c r="J28" s="193"/>
      <c r="K28" s="193"/>
      <c r="L28" s="193"/>
      <c r="M28" s="193" t="s">
        <v>119</v>
      </c>
      <c r="N28" s="171"/>
      <c r="O28" s="171"/>
      <c r="P28" s="171"/>
      <c r="Q28" s="171"/>
      <c r="R28" s="171"/>
      <c r="S28" s="171"/>
    </row>
    <row r="29" spans="1:19" ht="13.5" customHeight="1" x14ac:dyDescent="0.3">
      <c r="A29" s="194"/>
      <c r="B29" s="189"/>
      <c r="C29" s="190"/>
      <c r="D29" s="191" t="s">
        <v>157</v>
      </c>
      <c r="E29" s="198"/>
      <c r="F29" s="193"/>
      <c r="G29" s="193"/>
      <c r="H29" s="193" t="s">
        <v>119</v>
      </c>
      <c r="I29" s="193"/>
      <c r="J29" s="193"/>
      <c r="K29" s="193"/>
      <c r="L29" s="193"/>
      <c r="M29" s="193"/>
      <c r="N29" s="171"/>
      <c r="O29" s="171"/>
      <c r="P29" s="171"/>
      <c r="Q29" s="171"/>
      <c r="R29" s="171"/>
      <c r="S29" s="171"/>
    </row>
    <row r="30" spans="1:19" ht="13.5" customHeight="1" x14ac:dyDescent="0.3">
      <c r="A30" s="194"/>
      <c r="B30" s="189"/>
      <c r="C30" s="190"/>
      <c r="D30" s="191" t="s">
        <v>181</v>
      </c>
      <c r="E30" s="198"/>
      <c r="F30" s="193" t="s">
        <v>119</v>
      </c>
      <c r="G30" s="193" t="s">
        <v>119</v>
      </c>
      <c r="H30" s="193"/>
      <c r="I30" s="193"/>
      <c r="J30" s="193" t="s">
        <v>119</v>
      </c>
      <c r="K30" s="193" t="s">
        <v>119</v>
      </c>
      <c r="L30" s="193" t="s">
        <v>119</v>
      </c>
      <c r="M30" s="193"/>
      <c r="N30" s="171"/>
      <c r="O30" s="171"/>
      <c r="P30" s="171"/>
      <c r="Q30" s="171"/>
      <c r="R30" s="171"/>
      <c r="S30" s="171"/>
    </row>
    <row r="31" spans="1:19" ht="13.5" customHeight="1" x14ac:dyDescent="0.3">
      <c r="A31" s="194"/>
      <c r="B31" s="238"/>
      <c r="C31" s="239"/>
      <c r="D31" s="197" t="s">
        <v>153</v>
      </c>
      <c r="E31" s="240"/>
      <c r="F31" s="224"/>
      <c r="G31" s="224"/>
      <c r="H31" s="224"/>
      <c r="I31" s="224" t="s">
        <v>119</v>
      </c>
      <c r="J31" s="224"/>
      <c r="K31" s="224"/>
      <c r="L31" s="224"/>
      <c r="M31" s="224"/>
      <c r="N31" s="171"/>
      <c r="O31" s="171"/>
      <c r="P31" s="171"/>
      <c r="Q31" s="171"/>
      <c r="R31" s="171"/>
      <c r="S31" s="171"/>
    </row>
    <row r="32" spans="1:19" ht="13.5" customHeight="1" x14ac:dyDescent="0.3">
      <c r="A32" s="194"/>
      <c r="B32" s="238"/>
      <c r="C32" s="239"/>
      <c r="D32" s="197"/>
      <c r="E32" s="240"/>
      <c r="F32" s="224"/>
      <c r="G32" s="224"/>
      <c r="H32" s="224"/>
      <c r="I32" s="224"/>
      <c r="J32" s="224"/>
      <c r="K32" s="224"/>
      <c r="L32" s="224"/>
      <c r="M32" s="224"/>
      <c r="N32" s="171"/>
      <c r="O32" s="171"/>
      <c r="P32" s="171"/>
      <c r="Q32" s="171"/>
      <c r="R32" s="171"/>
      <c r="S32" s="171"/>
    </row>
    <row r="33" spans="1:19" ht="13.5" customHeight="1" x14ac:dyDescent="0.3">
      <c r="A33" s="194"/>
      <c r="B33" s="238"/>
      <c r="C33" s="239"/>
      <c r="D33" s="197"/>
      <c r="E33" s="240"/>
      <c r="F33" s="224"/>
      <c r="G33" s="224"/>
      <c r="H33" s="224"/>
      <c r="I33" s="224"/>
      <c r="J33" s="224"/>
      <c r="K33" s="224"/>
      <c r="L33" s="224"/>
      <c r="M33" s="224"/>
      <c r="N33" s="171"/>
      <c r="O33" s="171"/>
      <c r="P33" s="171"/>
      <c r="Q33" s="171"/>
      <c r="R33" s="171"/>
      <c r="S33" s="171"/>
    </row>
    <row r="34" spans="1:19" ht="13.5" customHeight="1" x14ac:dyDescent="0.3">
      <c r="A34" s="194"/>
      <c r="B34" s="238"/>
      <c r="C34" s="239"/>
      <c r="D34" s="197"/>
      <c r="E34" s="240"/>
      <c r="F34" s="224"/>
      <c r="G34" s="224"/>
      <c r="H34" s="224"/>
      <c r="I34" s="224"/>
      <c r="J34" s="224"/>
      <c r="K34" s="224"/>
      <c r="L34" s="224"/>
      <c r="M34" s="224"/>
      <c r="N34" s="171"/>
      <c r="O34" s="171"/>
      <c r="P34" s="171"/>
      <c r="Q34" s="171"/>
      <c r="R34" s="171"/>
      <c r="S34" s="171"/>
    </row>
    <row r="35" spans="1:19" ht="13.5" customHeight="1" x14ac:dyDescent="0.3">
      <c r="A35" s="194"/>
      <c r="B35" s="202"/>
      <c r="C35" s="203"/>
      <c r="D35" s="204"/>
      <c r="E35" s="205"/>
      <c r="F35" s="206"/>
      <c r="G35" s="206"/>
      <c r="H35" s="206"/>
      <c r="I35" s="206"/>
      <c r="J35" s="206"/>
      <c r="K35" s="206"/>
      <c r="L35" s="206"/>
      <c r="M35" s="206"/>
      <c r="N35" s="171"/>
      <c r="O35" s="171"/>
      <c r="P35" s="171"/>
      <c r="Q35" s="171"/>
      <c r="R35" s="171"/>
      <c r="S35" s="171"/>
    </row>
    <row r="36" spans="1:19" ht="13.5" customHeight="1" x14ac:dyDescent="0.3">
      <c r="A36" s="207" t="s">
        <v>125</v>
      </c>
      <c r="B36" s="208" t="s">
        <v>126</v>
      </c>
      <c r="C36" s="209"/>
      <c r="D36" s="210"/>
      <c r="E36" s="211"/>
      <c r="F36" s="212"/>
      <c r="G36" s="212"/>
      <c r="H36" s="212"/>
      <c r="I36" s="212"/>
      <c r="J36" s="212"/>
      <c r="K36" s="212"/>
      <c r="L36" s="212"/>
      <c r="M36" s="212"/>
      <c r="N36" s="171"/>
      <c r="O36" s="171"/>
      <c r="P36" s="171"/>
      <c r="Q36" s="171"/>
      <c r="R36" s="171"/>
      <c r="S36" s="171"/>
    </row>
    <row r="37" spans="1:19" ht="13.5" customHeight="1" x14ac:dyDescent="0.3">
      <c r="A37" s="213"/>
      <c r="B37" s="214"/>
      <c r="C37" s="215"/>
      <c r="D37" s="216" t="s">
        <v>127</v>
      </c>
      <c r="E37" s="217"/>
      <c r="F37" s="193" t="s">
        <v>119</v>
      </c>
      <c r="G37" s="193"/>
      <c r="H37" s="193"/>
      <c r="I37" s="193"/>
      <c r="J37" s="193"/>
      <c r="K37" s="193"/>
      <c r="L37" s="193"/>
      <c r="M37" s="193" t="s">
        <v>119</v>
      </c>
      <c r="N37" s="171"/>
      <c r="O37" s="171"/>
      <c r="P37" s="171"/>
      <c r="Q37" s="171"/>
      <c r="R37" s="171"/>
      <c r="S37" s="171"/>
    </row>
    <row r="38" spans="1:19" ht="13.5" customHeight="1" x14ac:dyDescent="0.3">
      <c r="A38" s="213"/>
      <c r="B38" s="214"/>
      <c r="C38" s="218"/>
      <c r="D38" s="216" t="s">
        <v>128</v>
      </c>
      <c r="E38" s="219"/>
      <c r="F38" s="193"/>
      <c r="G38" s="193" t="s">
        <v>119</v>
      </c>
      <c r="H38" s="193" t="s">
        <v>119</v>
      </c>
      <c r="I38" s="193" t="s">
        <v>119</v>
      </c>
      <c r="J38" s="193" t="s">
        <v>119</v>
      </c>
      <c r="K38" s="193" t="s">
        <v>119</v>
      </c>
      <c r="L38" s="193" t="s">
        <v>119</v>
      </c>
      <c r="M38" s="193"/>
      <c r="N38" s="171"/>
      <c r="O38" s="171"/>
      <c r="P38" s="171"/>
      <c r="Q38" s="171"/>
      <c r="R38" s="171"/>
      <c r="S38" s="171"/>
    </row>
    <row r="39" spans="1:19" ht="13.5" customHeight="1" x14ac:dyDescent="0.3">
      <c r="A39" s="213"/>
      <c r="B39" s="214" t="s">
        <v>129</v>
      </c>
      <c r="C39" s="218"/>
      <c r="D39" s="216"/>
      <c r="E39" s="219"/>
      <c r="F39" s="193"/>
      <c r="G39" s="193"/>
      <c r="H39" s="193"/>
      <c r="I39" s="193"/>
      <c r="J39" s="193"/>
      <c r="K39" s="193"/>
      <c r="L39" s="193"/>
      <c r="M39" s="193"/>
      <c r="N39" s="171"/>
      <c r="O39" s="171"/>
      <c r="P39" s="171"/>
      <c r="Q39" s="171"/>
      <c r="R39" s="171"/>
      <c r="S39" s="171"/>
    </row>
    <row r="40" spans="1:19" ht="13.5" customHeight="1" x14ac:dyDescent="0.3">
      <c r="A40" s="213"/>
      <c r="B40" s="214"/>
      <c r="C40" s="218"/>
      <c r="D40" s="216"/>
      <c r="E40" s="219"/>
      <c r="F40" s="193"/>
      <c r="G40" s="193"/>
      <c r="H40" s="193"/>
      <c r="I40" s="193"/>
      <c r="J40" s="193"/>
      <c r="K40" s="193"/>
      <c r="L40" s="193"/>
      <c r="M40" s="193"/>
      <c r="N40" s="171"/>
      <c r="O40" s="171"/>
      <c r="P40" s="171"/>
      <c r="Q40" s="171"/>
      <c r="R40" s="171"/>
      <c r="S40" s="171"/>
    </row>
    <row r="41" spans="1:19" ht="13.5" customHeight="1" x14ac:dyDescent="0.3">
      <c r="A41" s="213"/>
      <c r="B41" s="214" t="s">
        <v>130</v>
      </c>
      <c r="C41" s="218"/>
      <c r="D41" s="216"/>
      <c r="E41" s="219"/>
      <c r="F41" s="193"/>
      <c r="G41" s="193"/>
      <c r="H41" s="193"/>
      <c r="I41" s="193"/>
      <c r="J41" s="193"/>
      <c r="K41" s="193"/>
      <c r="L41" s="193"/>
      <c r="M41" s="193"/>
      <c r="N41" s="171"/>
      <c r="O41" s="171"/>
      <c r="P41" s="171"/>
      <c r="Q41" s="171"/>
      <c r="R41" s="171"/>
      <c r="S41" s="171"/>
    </row>
    <row r="42" spans="1:19" ht="13.5" customHeight="1" x14ac:dyDescent="0.3">
      <c r="A42" s="213"/>
      <c r="B42" s="214"/>
      <c r="C42" s="218"/>
      <c r="D42" s="216" t="s">
        <v>182</v>
      </c>
      <c r="E42" s="219"/>
      <c r="F42" s="193" t="s">
        <v>119</v>
      </c>
      <c r="G42" s="193"/>
      <c r="H42" s="193"/>
      <c r="I42" s="193"/>
      <c r="J42" s="193"/>
      <c r="K42" s="193"/>
      <c r="L42" s="193"/>
      <c r="M42" s="193"/>
      <c r="N42" s="171"/>
      <c r="O42" s="171"/>
      <c r="P42" s="171"/>
      <c r="Q42" s="171"/>
      <c r="R42" s="171"/>
      <c r="S42" s="171"/>
    </row>
    <row r="43" spans="1:19" ht="13.5" customHeight="1" x14ac:dyDescent="0.3">
      <c r="A43" s="213"/>
      <c r="B43" s="220"/>
      <c r="C43" s="241"/>
      <c r="D43" s="222" t="s">
        <v>183</v>
      </c>
      <c r="E43" s="242"/>
      <c r="F43" s="224"/>
      <c r="G43" s="224"/>
      <c r="H43" s="224"/>
      <c r="I43" s="224"/>
      <c r="J43" s="224"/>
      <c r="K43" s="224"/>
      <c r="L43" s="224" t="s">
        <v>119</v>
      </c>
      <c r="M43" s="224"/>
      <c r="N43" s="171"/>
      <c r="O43" s="171"/>
      <c r="P43" s="171"/>
      <c r="Q43" s="171"/>
      <c r="R43" s="171"/>
      <c r="S43" s="171"/>
    </row>
    <row r="44" spans="1:19" ht="13.5" customHeight="1" x14ac:dyDescent="0.3">
      <c r="A44" s="213"/>
      <c r="B44" s="220"/>
      <c r="C44" s="241"/>
      <c r="D44" s="222" t="s">
        <v>184</v>
      </c>
      <c r="E44" s="242"/>
      <c r="F44" s="224"/>
      <c r="G44" s="224"/>
      <c r="H44" s="224"/>
      <c r="I44" s="224"/>
      <c r="J44" s="224"/>
      <c r="K44" s="224" t="s">
        <v>119</v>
      </c>
      <c r="L44" s="224"/>
      <c r="M44" s="224"/>
      <c r="N44" s="171"/>
      <c r="O44" s="171"/>
      <c r="P44" s="171"/>
      <c r="Q44" s="171"/>
      <c r="R44" s="171"/>
      <c r="S44" s="171"/>
    </row>
    <row r="45" spans="1:19" ht="13.5" customHeight="1" x14ac:dyDescent="0.3">
      <c r="A45" s="213"/>
      <c r="B45" s="220"/>
      <c r="C45" s="241"/>
      <c r="D45" s="222" t="s">
        <v>185</v>
      </c>
      <c r="E45" s="242"/>
      <c r="F45" s="224"/>
      <c r="G45" s="224"/>
      <c r="H45" s="224"/>
      <c r="I45" s="224" t="s">
        <v>119</v>
      </c>
      <c r="J45" s="224"/>
      <c r="K45" s="224"/>
      <c r="L45" s="224"/>
      <c r="M45" s="224"/>
      <c r="N45" s="171"/>
      <c r="O45" s="171"/>
      <c r="P45" s="171"/>
      <c r="Q45" s="171"/>
      <c r="R45" s="171"/>
      <c r="S45" s="171"/>
    </row>
    <row r="46" spans="1:19" ht="13.5" customHeight="1" x14ac:dyDescent="0.3">
      <c r="A46" s="213"/>
      <c r="B46" s="220"/>
      <c r="C46" s="241"/>
      <c r="D46" s="222" t="s">
        <v>186</v>
      </c>
      <c r="E46" s="242"/>
      <c r="F46" s="224"/>
      <c r="G46" s="224"/>
      <c r="H46" s="224"/>
      <c r="I46" s="224"/>
      <c r="J46" s="224" t="s">
        <v>119</v>
      </c>
      <c r="K46" s="224"/>
      <c r="L46" s="224"/>
      <c r="M46" s="224"/>
      <c r="N46" s="171"/>
      <c r="O46" s="171"/>
      <c r="P46" s="171"/>
      <c r="Q46" s="171"/>
      <c r="R46" s="171"/>
      <c r="S46" s="171"/>
    </row>
    <row r="47" spans="1:19" ht="13.5" customHeight="1" x14ac:dyDescent="0.3">
      <c r="A47" s="213"/>
      <c r="B47" s="220"/>
      <c r="C47" s="241"/>
      <c r="D47" s="222" t="s">
        <v>187</v>
      </c>
      <c r="E47" s="242"/>
      <c r="F47" s="224"/>
      <c r="G47" s="224"/>
      <c r="H47" s="224" t="s">
        <v>119</v>
      </c>
      <c r="I47" s="224"/>
      <c r="J47" s="224"/>
      <c r="K47" s="224"/>
      <c r="L47" s="224"/>
      <c r="M47" s="224"/>
      <c r="N47" s="171"/>
      <c r="O47" s="171"/>
      <c r="P47" s="171"/>
      <c r="Q47" s="171"/>
      <c r="R47" s="171"/>
      <c r="S47" s="171"/>
    </row>
    <row r="48" spans="1:19" ht="13.5" customHeight="1" x14ac:dyDescent="0.3">
      <c r="A48" s="213"/>
      <c r="B48" s="243"/>
      <c r="C48" s="244"/>
      <c r="D48" s="245" t="s">
        <v>188</v>
      </c>
      <c r="E48" s="246"/>
      <c r="F48" s="224"/>
      <c r="G48" s="224" t="s">
        <v>119</v>
      </c>
      <c r="H48" s="224"/>
      <c r="I48" s="224"/>
      <c r="J48" s="224"/>
      <c r="K48" s="224"/>
      <c r="L48" s="224"/>
      <c r="M48" s="224"/>
      <c r="N48" s="171"/>
      <c r="O48" s="171"/>
      <c r="P48" s="171"/>
      <c r="Q48" s="171"/>
      <c r="R48" s="171"/>
      <c r="S48" s="171"/>
    </row>
    <row r="49" spans="1:26" ht="13.5" customHeight="1" x14ac:dyDescent="0.2">
      <c r="A49" s="207" t="s">
        <v>134</v>
      </c>
      <c r="B49" s="324" t="s">
        <v>135</v>
      </c>
      <c r="C49" s="301"/>
      <c r="D49" s="302"/>
      <c r="E49" s="225"/>
      <c r="F49" s="226" t="s">
        <v>95</v>
      </c>
      <c r="G49" s="226" t="s">
        <v>66</v>
      </c>
      <c r="H49" s="226" t="s">
        <v>66</v>
      </c>
      <c r="I49" s="226" t="s">
        <v>66</v>
      </c>
      <c r="J49" s="226" t="s">
        <v>66</v>
      </c>
      <c r="K49" s="226" t="s">
        <v>66</v>
      </c>
      <c r="L49" s="226" t="s">
        <v>66</v>
      </c>
      <c r="M49" s="226" t="s">
        <v>95</v>
      </c>
      <c r="N49" s="171"/>
      <c r="O49" s="171"/>
      <c r="P49" s="171"/>
      <c r="Q49" s="171"/>
      <c r="R49" s="171"/>
      <c r="S49" s="171"/>
    </row>
    <row r="50" spans="1:26" ht="13.5" customHeight="1" x14ac:dyDescent="0.2">
      <c r="A50" s="247"/>
      <c r="B50" s="325" t="s">
        <v>136</v>
      </c>
      <c r="C50" s="251"/>
      <c r="D50" s="252"/>
      <c r="E50" s="227"/>
      <c r="F50" s="228" t="s">
        <v>137</v>
      </c>
      <c r="G50" s="228" t="s">
        <v>137</v>
      </c>
      <c r="H50" s="228" t="s">
        <v>137</v>
      </c>
      <c r="I50" s="228" t="s">
        <v>137</v>
      </c>
      <c r="J50" s="228" t="s">
        <v>137</v>
      </c>
      <c r="K50" s="228" t="s">
        <v>128</v>
      </c>
      <c r="L50" s="228" t="s">
        <v>128</v>
      </c>
      <c r="M50" s="228" t="s">
        <v>137</v>
      </c>
      <c r="N50" s="171"/>
      <c r="O50" s="171"/>
      <c r="P50" s="171"/>
      <c r="Q50" s="171"/>
      <c r="R50" s="171"/>
      <c r="S50" s="171"/>
    </row>
    <row r="51" spans="1:26" ht="56.25" customHeight="1" x14ac:dyDescent="0.15">
      <c r="A51" s="247"/>
      <c r="B51" s="326" t="s">
        <v>138</v>
      </c>
      <c r="C51" s="251"/>
      <c r="D51" s="252"/>
      <c r="E51" s="229"/>
      <c r="F51" s="230">
        <v>45602</v>
      </c>
      <c r="G51" s="230">
        <v>45602</v>
      </c>
      <c r="H51" s="230">
        <v>45602</v>
      </c>
      <c r="I51" s="230">
        <v>45602</v>
      </c>
      <c r="J51" s="230">
        <v>45602</v>
      </c>
      <c r="K51" s="230">
        <v>45602</v>
      </c>
      <c r="L51" s="230">
        <v>45602</v>
      </c>
      <c r="M51" s="230">
        <v>45602</v>
      </c>
      <c r="N51" s="171"/>
      <c r="O51" s="171"/>
      <c r="P51" s="171"/>
      <c r="Q51" s="171"/>
      <c r="R51" s="171"/>
      <c r="S51" s="171"/>
    </row>
    <row r="52" spans="1:26" ht="15" customHeight="1" x14ac:dyDescent="0.15">
      <c r="A52" s="248"/>
      <c r="B52" s="327" t="s">
        <v>139</v>
      </c>
      <c r="C52" s="306"/>
      <c r="D52" s="307"/>
      <c r="E52" s="232"/>
      <c r="F52" s="233"/>
      <c r="G52" s="233"/>
      <c r="H52" s="233"/>
      <c r="I52" s="233"/>
      <c r="J52" s="233"/>
      <c r="K52" s="233" t="s">
        <v>189</v>
      </c>
      <c r="L52" s="233" t="s">
        <v>190</v>
      </c>
      <c r="M52" s="233"/>
      <c r="N52" s="171"/>
      <c r="O52" s="171"/>
      <c r="P52" s="171"/>
      <c r="Q52" s="171"/>
      <c r="R52" s="171"/>
      <c r="S52" s="171"/>
    </row>
    <row r="53" spans="1:26" ht="11.25" customHeight="1" x14ac:dyDescent="0.15">
      <c r="A53" s="172"/>
      <c r="B53" s="171"/>
      <c r="C53" s="18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spans="1:26" ht="13.5" customHeight="1" x14ac:dyDescent="0.15">
      <c r="A54" s="171"/>
      <c r="B54" s="172"/>
      <c r="C54" s="171"/>
      <c r="D54" s="18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spans="1:26" ht="13.5" customHeight="1" x14ac:dyDescent="0.15">
      <c r="A55" s="171"/>
      <c r="B55" s="172"/>
      <c r="C55" s="171"/>
      <c r="D55" s="18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spans="1:26" ht="13.5" customHeight="1" x14ac:dyDescent="0.15">
      <c r="A56" s="171"/>
      <c r="B56" s="172"/>
      <c r="C56" s="171"/>
      <c r="D56" s="18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spans="1:26" ht="13.5" customHeight="1" x14ac:dyDescent="0.15">
      <c r="A57" s="171"/>
      <c r="B57" s="172"/>
      <c r="C57" s="171"/>
      <c r="D57" s="18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spans="1:26" ht="13.5" customHeight="1" x14ac:dyDescent="0.15">
      <c r="A58" s="171"/>
      <c r="B58" s="172"/>
      <c r="C58" s="171"/>
      <c r="D58" s="18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spans="1:26" ht="13.5" customHeight="1" x14ac:dyDescent="0.15">
      <c r="A59" s="171"/>
      <c r="B59" s="172"/>
      <c r="C59" s="171"/>
      <c r="D59" s="18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spans="1:26" ht="13.5" customHeight="1" x14ac:dyDescent="0.15">
      <c r="A60" s="171"/>
      <c r="B60" s="172"/>
      <c r="C60" s="171"/>
      <c r="D60" s="18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spans="1:26" ht="13.5" customHeight="1" x14ac:dyDescent="0.15">
      <c r="A61" s="171"/>
      <c r="B61" s="172"/>
      <c r="C61" s="171"/>
      <c r="D61" s="18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3.5" customHeight="1" x14ac:dyDescent="0.15">
      <c r="A62" s="171"/>
      <c r="B62" s="172"/>
      <c r="C62" s="171"/>
      <c r="D62" s="18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:26" ht="13.5" customHeight="1" x14ac:dyDescent="0.15">
      <c r="A63" s="171"/>
      <c r="B63" s="172"/>
      <c r="C63" s="171"/>
      <c r="D63" s="18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:26" ht="13.5" customHeight="1" x14ac:dyDescent="0.15">
      <c r="A64" s="171"/>
      <c r="B64" s="172"/>
      <c r="C64" s="171"/>
      <c r="D64" s="18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:26" ht="13.5" customHeight="1" x14ac:dyDescent="0.15">
      <c r="A65" s="171"/>
      <c r="B65" s="172"/>
      <c r="C65" s="171"/>
      <c r="D65" s="18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:26" ht="13.5" customHeight="1" x14ac:dyDescent="0.15">
      <c r="A66" s="171"/>
      <c r="B66" s="172"/>
      <c r="C66" s="171"/>
      <c r="D66" s="18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6" ht="13.5" customHeight="1" x14ac:dyDescent="0.15">
      <c r="A67" s="171"/>
      <c r="B67" s="172"/>
      <c r="C67" s="171"/>
      <c r="D67" s="18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:26" ht="13.5" customHeight="1" x14ac:dyDescent="0.15">
      <c r="A68" s="171"/>
      <c r="B68" s="172"/>
      <c r="C68" s="171"/>
      <c r="D68" s="18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:26" ht="13.5" customHeight="1" x14ac:dyDescent="0.15">
      <c r="A69" s="171"/>
      <c r="B69" s="172"/>
      <c r="C69" s="171"/>
      <c r="D69" s="18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:26" ht="13.5" customHeight="1" x14ac:dyDescent="0.15">
      <c r="A70" s="171"/>
      <c r="B70" s="172"/>
      <c r="C70" s="171"/>
      <c r="D70" s="18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:26" ht="13.5" customHeight="1" x14ac:dyDescent="0.15">
      <c r="A71" s="171"/>
      <c r="B71" s="172"/>
      <c r="C71" s="171"/>
      <c r="D71" s="18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:26" ht="13.5" customHeight="1" x14ac:dyDescent="0.15">
      <c r="A72" s="171"/>
      <c r="B72" s="172"/>
      <c r="C72" s="171"/>
      <c r="D72" s="18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:26" ht="13.5" customHeight="1" x14ac:dyDescent="0.15">
      <c r="A73" s="171"/>
      <c r="B73" s="172"/>
      <c r="C73" s="171"/>
      <c r="D73" s="18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:26" ht="13.5" customHeight="1" x14ac:dyDescent="0.15">
      <c r="A74" s="171"/>
      <c r="B74" s="172"/>
      <c r="C74" s="171"/>
      <c r="D74" s="18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:26" ht="13.5" customHeight="1" x14ac:dyDescent="0.15">
      <c r="A75" s="171"/>
      <c r="B75" s="172"/>
      <c r="C75" s="171"/>
      <c r="D75" s="18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:26" ht="13.5" customHeight="1" x14ac:dyDescent="0.15">
      <c r="A76" s="171"/>
      <c r="B76" s="172"/>
      <c r="C76" s="171"/>
      <c r="D76" s="18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:26" ht="13.5" customHeight="1" x14ac:dyDescent="0.15">
      <c r="A77" s="171"/>
      <c r="B77" s="172"/>
      <c r="C77" s="171"/>
      <c r="D77" s="18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:26" ht="13.5" customHeight="1" x14ac:dyDescent="0.15">
      <c r="A78" s="171"/>
      <c r="B78" s="172"/>
      <c r="C78" s="171"/>
      <c r="D78" s="18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:26" ht="13.5" customHeight="1" x14ac:dyDescent="0.15">
      <c r="A79" s="171"/>
      <c r="B79" s="172"/>
      <c r="C79" s="171"/>
      <c r="D79" s="18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:26" ht="13.5" customHeight="1" x14ac:dyDescent="0.15">
      <c r="A80" s="171"/>
      <c r="B80" s="172"/>
      <c r="C80" s="171"/>
      <c r="D80" s="18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:26" ht="13.5" customHeight="1" x14ac:dyDescent="0.15">
      <c r="A81" s="171"/>
      <c r="B81" s="172"/>
      <c r="C81" s="171"/>
      <c r="D81" s="18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:26" ht="13.5" customHeight="1" x14ac:dyDescent="0.15">
      <c r="A82" s="171"/>
      <c r="B82" s="172"/>
      <c r="C82" s="171"/>
      <c r="D82" s="18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:26" ht="13.5" customHeight="1" x14ac:dyDescent="0.15">
      <c r="A83" s="171"/>
      <c r="B83" s="172"/>
      <c r="C83" s="171"/>
      <c r="D83" s="18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:26" ht="13.5" customHeight="1" x14ac:dyDescent="0.15">
      <c r="A84" s="171"/>
      <c r="B84" s="172"/>
      <c r="C84" s="171"/>
      <c r="D84" s="18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:26" ht="13.5" customHeight="1" x14ac:dyDescent="0.15">
      <c r="A85" s="171"/>
      <c r="B85" s="172"/>
      <c r="C85" s="171"/>
      <c r="D85" s="18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:26" ht="13.5" customHeight="1" x14ac:dyDescent="0.15">
      <c r="A86" s="171"/>
      <c r="B86" s="172"/>
      <c r="C86" s="171"/>
      <c r="D86" s="18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:26" ht="13.5" customHeight="1" x14ac:dyDescent="0.15">
      <c r="A87" s="171"/>
      <c r="B87" s="172"/>
      <c r="C87" s="171"/>
      <c r="D87" s="18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:26" ht="13.5" customHeight="1" x14ac:dyDescent="0.15">
      <c r="A88" s="171"/>
      <c r="B88" s="172"/>
      <c r="C88" s="171"/>
      <c r="D88" s="18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:26" ht="13.5" customHeight="1" x14ac:dyDescent="0.15">
      <c r="A89" s="171"/>
      <c r="B89" s="172"/>
      <c r="C89" s="171"/>
      <c r="D89" s="18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:26" ht="13.5" customHeight="1" x14ac:dyDescent="0.15">
      <c r="A90" s="171"/>
      <c r="B90" s="172"/>
      <c r="C90" s="171"/>
      <c r="D90" s="18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:26" ht="13.5" customHeight="1" x14ac:dyDescent="0.15">
      <c r="A91" s="171"/>
      <c r="B91" s="172"/>
      <c r="C91" s="171"/>
      <c r="D91" s="18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:26" ht="13.5" customHeight="1" x14ac:dyDescent="0.15">
      <c r="A92" s="171"/>
      <c r="B92" s="172"/>
      <c r="C92" s="171"/>
      <c r="D92" s="18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:26" ht="13.5" customHeight="1" x14ac:dyDescent="0.15">
      <c r="A93" s="171"/>
      <c r="B93" s="172"/>
      <c r="C93" s="171"/>
      <c r="D93" s="18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:26" ht="13.5" customHeight="1" x14ac:dyDescent="0.15">
      <c r="A94" s="171"/>
      <c r="B94" s="172"/>
      <c r="C94" s="171"/>
      <c r="D94" s="18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:26" ht="13.5" customHeight="1" x14ac:dyDescent="0.15">
      <c r="A95" s="171"/>
      <c r="B95" s="172"/>
      <c r="C95" s="171"/>
      <c r="D95" s="18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:26" ht="13.5" customHeight="1" x14ac:dyDescent="0.15">
      <c r="A96" s="171"/>
      <c r="B96" s="172"/>
      <c r="C96" s="171"/>
      <c r="D96" s="18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:26" ht="13.5" customHeight="1" x14ac:dyDescent="0.15">
      <c r="A97" s="171"/>
      <c r="B97" s="172"/>
      <c r="C97" s="171"/>
      <c r="D97" s="18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:26" ht="13.5" customHeight="1" x14ac:dyDescent="0.15">
      <c r="A98" s="171"/>
      <c r="B98" s="172"/>
      <c r="C98" s="171"/>
      <c r="D98" s="18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:26" ht="13.5" customHeight="1" x14ac:dyDescent="0.15">
      <c r="A99" s="171"/>
      <c r="B99" s="172"/>
      <c r="C99" s="171"/>
      <c r="D99" s="18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spans="1:26" ht="13.5" customHeight="1" x14ac:dyDescent="0.15">
      <c r="A100" s="171"/>
      <c r="B100" s="172"/>
      <c r="C100" s="171"/>
      <c r="D100" s="18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spans="1:26" ht="13.5" customHeight="1" x14ac:dyDescent="0.15">
      <c r="A101" s="171"/>
      <c r="B101" s="172"/>
      <c r="C101" s="171"/>
      <c r="D101" s="18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spans="1:26" ht="13.5" customHeight="1" x14ac:dyDescent="0.15">
      <c r="A102" s="171"/>
      <c r="B102" s="172"/>
      <c r="C102" s="171"/>
      <c r="D102" s="18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spans="1:26" ht="13.5" customHeight="1" x14ac:dyDescent="0.15">
      <c r="A103" s="171"/>
      <c r="B103" s="172"/>
      <c r="C103" s="171"/>
      <c r="D103" s="18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spans="1:26" ht="13.5" customHeight="1" x14ac:dyDescent="0.15">
      <c r="A104" s="171"/>
      <c r="B104" s="172"/>
      <c r="C104" s="171"/>
      <c r="D104" s="18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spans="1:26" ht="13.5" customHeight="1" x14ac:dyDescent="0.15">
      <c r="A105" s="171"/>
      <c r="B105" s="172"/>
      <c r="C105" s="171"/>
      <c r="D105" s="18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spans="1:26" ht="13.5" customHeight="1" x14ac:dyDescent="0.15">
      <c r="A106" s="171"/>
      <c r="B106" s="172"/>
      <c r="C106" s="171"/>
      <c r="D106" s="18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spans="1:26" ht="13.5" customHeight="1" x14ac:dyDescent="0.15">
      <c r="A107" s="171"/>
      <c r="B107" s="172"/>
      <c r="C107" s="171"/>
      <c r="D107" s="18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spans="1:26" ht="13.5" customHeight="1" x14ac:dyDescent="0.15">
      <c r="A108" s="171"/>
      <c r="B108" s="172"/>
      <c r="C108" s="171"/>
      <c r="D108" s="18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spans="1:26" ht="13.5" customHeight="1" x14ac:dyDescent="0.15">
      <c r="A109" s="171"/>
      <c r="B109" s="172"/>
      <c r="C109" s="171"/>
      <c r="D109" s="18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spans="1:26" ht="13.5" customHeight="1" x14ac:dyDescent="0.15">
      <c r="A110" s="171"/>
      <c r="B110" s="172"/>
      <c r="C110" s="171"/>
      <c r="D110" s="18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spans="1:26" ht="13.5" customHeight="1" x14ac:dyDescent="0.15">
      <c r="A111" s="171"/>
      <c r="B111" s="172"/>
      <c r="C111" s="171"/>
      <c r="D111" s="18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spans="1:26" ht="13.5" customHeight="1" x14ac:dyDescent="0.15">
      <c r="A112" s="171"/>
      <c r="B112" s="172"/>
      <c r="C112" s="171"/>
      <c r="D112" s="18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spans="1:26" ht="13.5" customHeight="1" x14ac:dyDescent="0.15">
      <c r="A113" s="171"/>
      <c r="B113" s="172"/>
      <c r="C113" s="171"/>
      <c r="D113" s="18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spans="1:26" ht="13.5" customHeight="1" x14ac:dyDescent="0.15">
      <c r="A114" s="171"/>
      <c r="B114" s="172"/>
      <c r="C114" s="171"/>
      <c r="D114" s="18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spans="1:26" ht="13.5" customHeight="1" x14ac:dyDescent="0.15">
      <c r="A115" s="171"/>
      <c r="B115" s="172"/>
      <c r="C115" s="171"/>
      <c r="D115" s="18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spans="1:26" ht="13.5" customHeight="1" x14ac:dyDescent="0.15">
      <c r="A116" s="171"/>
      <c r="B116" s="172"/>
      <c r="C116" s="171"/>
      <c r="D116" s="18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spans="1:26" ht="13.5" customHeight="1" x14ac:dyDescent="0.15">
      <c r="A117" s="171"/>
      <c r="B117" s="172"/>
      <c r="C117" s="171"/>
      <c r="D117" s="18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spans="1:26" ht="13.5" customHeight="1" x14ac:dyDescent="0.15">
      <c r="A118" s="171"/>
      <c r="B118" s="172"/>
      <c r="C118" s="171"/>
      <c r="D118" s="18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spans="1:26" ht="13.5" customHeight="1" x14ac:dyDescent="0.15">
      <c r="A119" s="171"/>
      <c r="B119" s="172"/>
      <c r="C119" s="171"/>
      <c r="D119" s="18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spans="1:26" ht="13.5" customHeight="1" x14ac:dyDescent="0.15">
      <c r="A120" s="171"/>
      <c r="B120" s="172"/>
      <c r="C120" s="171"/>
      <c r="D120" s="18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:26" ht="13.5" customHeight="1" x14ac:dyDescent="0.15">
      <c r="A121" s="171"/>
      <c r="B121" s="172"/>
      <c r="C121" s="171"/>
      <c r="D121" s="18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:26" ht="13.5" customHeight="1" x14ac:dyDescent="0.15">
      <c r="A122" s="171"/>
      <c r="B122" s="172"/>
      <c r="C122" s="171"/>
      <c r="D122" s="18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:26" ht="13.5" customHeight="1" x14ac:dyDescent="0.15">
      <c r="A123" s="171"/>
      <c r="B123" s="172"/>
      <c r="C123" s="171"/>
      <c r="D123" s="18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:26" ht="13.5" customHeight="1" x14ac:dyDescent="0.15">
      <c r="A124" s="171"/>
      <c r="B124" s="172"/>
      <c r="C124" s="171"/>
      <c r="D124" s="18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:26" ht="13.5" customHeight="1" x14ac:dyDescent="0.15">
      <c r="A125" s="171"/>
      <c r="B125" s="172"/>
      <c r="C125" s="171"/>
      <c r="D125" s="18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:26" ht="13.5" customHeight="1" x14ac:dyDescent="0.15">
      <c r="A126" s="171"/>
      <c r="B126" s="172"/>
      <c r="C126" s="171"/>
      <c r="D126" s="18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:26" ht="13.5" customHeight="1" x14ac:dyDescent="0.15">
      <c r="A127" s="171"/>
      <c r="B127" s="172"/>
      <c r="C127" s="171"/>
      <c r="D127" s="18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:26" ht="13.5" customHeight="1" x14ac:dyDescent="0.15">
      <c r="A128" s="171"/>
      <c r="B128" s="172"/>
      <c r="C128" s="171"/>
      <c r="D128" s="18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:26" ht="13.5" customHeight="1" x14ac:dyDescent="0.15">
      <c r="A129" s="171"/>
      <c r="B129" s="172"/>
      <c r="C129" s="171"/>
      <c r="D129" s="18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:26" ht="13.5" customHeight="1" x14ac:dyDescent="0.15">
      <c r="A130" s="171"/>
      <c r="B130" s="172"/>
      <c r="C130" s="171"/>
      <c r="D130" s="18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:26" ht="13.5" customHeight="1" x14ac:dyDescent="0.15">
      <c r="A131" s="171"/>
      <c r="B131" s="172"/>
      <c r="C131" s="171"/>
      <c r="D131" s="18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:26" ht="13.5" customHeight="1" x14ac:dyDescent="0.15">
      <c r="A132" s="171"/>
      <c r="B132" s="172"/>
      <c r="C132" s="171"/>
      <c r="D132" s="18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6" ht="13.5" customHeight="1" x14ac:dyDescent="0.15">
      <c r="A133" s="171"/>
      <c r="B133" s="172"/>
      <c r="C133" s="171"/>
      <c r="D133" s="18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:26" ht="13.5" customHeight="1" x14ac:dyDescent="0.15">
      <c r="A134" s="171"/>
      <c r="B134" s="172"/>
      <c r="C134" s="171"/>
      <c r="D134" s="18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:26" ht="13.5" customHeight="1" x14ac:dyDescent="0.15">
      <c r="A135" s="171"/>
      <c r="B135" s="172"/>
      <c r="C135" s="171"/>
      <c r="D135" s="18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:26" ht="13.5" customHeight="1" x14ac:dyDescent="0.15">
      <c r="A136" s="171"/>
      <c r="B136" s="172"/>
      <c r="C136" s="171"/>
      <c r="D136" s="18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spans="1:26" ht="13.5" customHeight="1" x14ac:dyDescent="0.15">
      <c r="A137" s="171"/>
      <c r="B137" s="172"/>
      <c r="C137" s="171"/>
      <c r="D137" s="18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spans="1:26" ht="13.5" customHeight="1" x14ac:dyDescent="0.15">
      <c r="A138" s="171"/>
      <c r="B138" s="172"/>
      <c r="C138" s="171"/>
      <c r="D138" s="18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spans="1:26" ht="13.5" customHeight="1" x14ac:dyDescent="0.15">
      <c r="A139" s="171"/>
      <c r="B139" s="172"/>
      <c r="C139" s="171"/>
      <c r="D139" s="18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spans="1:26" ht="13.5" customHeight="1" x14ac:dyDescent="0.15">
      <c r="A140" s="171"/>
      <c r="B140" s="172"/>
      <c r="C140" s="171"/>
      <c r="D140" s="18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spans="1:26" ht="13.5" customHeight="1" x14ac:dyDescent="0.15">
      <c r="A141" s="171"/>
      <c r="B141" s="172"/>
      <c r="C141" s="171"/>
      <c r="D141" s="18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spans="1:26" ht="13.5" customHeight="1" x14ac:dyDescent="0.15">
      <c r="A142" s="171"/>
      <c r="B142" s="172"/>
      <c r="C142" s="171"/>
      <c r="D142" s="18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spans="1:26" ht="13.5" customHeight="1" x14ac:dyDescent="0.15">
      <c r="A143" s="171"/>
      <c r="B143" s="172"/>
      <c r="C143" s="171"/>
      <c r="D143" s="18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spans="1:26" ht="13.5" customHeight="1" x14ac:dyDescent="0.15">
      <c r="A144" s="171"/>
      <c r="B144" s="172"/>
      <c r="C144" s="171"/>
      <c r="D144" s="18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spans="1:26" ht="13.5" customHeight="1" x14ac:dyDescent="0.15">
      <c r="A145" s="171"/>
      <c r="B145" s="172"/>
      <c r="C145" s="171"/>
      <c r="D145" s="18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spans="1:26" ht="13.5" customHeight="1" x14ac:dyDescent="0.15">
      <c r="A146" s="171"/>
      <c r="B146" s="172"/>
      <c r="C146" s="171"/>
      <c r="D146" s="18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spans="1:26" ht="13.5" customHeight="1" x14ac:dyDescent="0.15">
      <c r="A147" s="171"/>
      <c r="B147" s="172"/>
      <c r="C147" s="171"/>
      <c r="D147" s="18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spans="1:26" ht="13.5" customHeight="1" x14ac:dyDescent="0.15">
      <c r="A148" s="171"/>
      <c r="B148" s="172"/>
      <c r="C148" s="171"/>
      <c r="D148" s="18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spans="1:26" ht="13.5" customHeight="1" x14ac:dyDescent="0.15">
      <c r="A149" s="171"/>
      <c r="B149" s="172"/>
      <c r="C149" s="171"/>
      <c r="D149" s="18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spans="1:26" ht="13.5" customHeight="1" x14ac:dyDescent="0.15">
      <c r="A150" s="171"/>
      <c r="B150" s="172"/>
      <c r="C150" s="171"/>
      <c r="D150" s="18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spans="1:26" ht="13.5" customHeight="1" x14ac:dyDescent="0.15">
      <c r="A151" s="171"/>
      <c r="B151" s="172"/>
      <c r="C151" s="171"/>
      <c r="D151" s="18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spans="1:26" ht="13.5" customHeight="1" x14ac:dyDescent="0.15">
      <c r="A152" s="171"/>
      <c r="B152" s="172"/>
      <c r="C152" s="171"/>
      <c r="D152" s="18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spans="1:26" ht="13.5" customHeight="1" x14ac:dyDescent="0.15">
      <c r="A153" s="171"/>
      <c r="B153" s="172"/>
      <c r="C153" s="171"/>
      <c r="D153" s="18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spans="1:26" ht="13.5" customHeight="1" x14ac:dyDescent="0.15">
      <c r="A154" s="171"/>
      <c r="B154" s="172"/>
      <c r="C154" s="171"/>
      <c r="D154" s="18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spans="1:26" ht="13.5" customHeight="1" x14ac:dyDescent="0.15">
      <c r="A155" s="171"/>
      <c r="B155" s="172"/>
      <c r="C155" s="171"/>
      <c r="D155" s="18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spans="1:26" ht="13.5" customHeight="1" x14ac:dyDescent="0.15">
      <c r="A156" s="171"/>
      <c r="B156" s="172"/>
      <c r="C156" s="171"/>
      <c r="D156" s="18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spans="1:26" ht="13.5" customHeight="1" x14ac:dyDescent="0.15">
      <c r="A157" s="171"/>
      <c r="B157" s="172"/>
      <c r="C157" s="171"/>
      <c r="D157" s="18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spans="1:26" ht="13.5" customHeight="1" x14ac:dyDescent="0.15">
      <c r="A158" s="171"/>
      <c r="B158" s="172"/>
      <c r="C158" s="171"/>
      <c r="D158" s="18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spans="1:26" ht="13.5" customHeight="1" x14ac:dyDescent="0.15">
      <c r="A159" s="171"/>
      <c r="B159" s="172"/>
      <c r="C159" s="171"/>
      <c r="D159" s="18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spans="1:26" ht="13.5" customHeight="1" x14ac:dyDescent="0.15">
      <c r="A160" s="171"/>
      <c r="B160" s="172"/>
      <c r="C160" s="171"/>
      <c r="D160" s="18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spans="1:26" ht="13.5" customHeight="1" x14ac:dyDescent="0.15">
      <c r="A161" s="171"/>
      <c r="B161" s="172"/>
      <c r="C161" s="171"/>
      <c r="D161" s="18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spans="1:26" ht="13.5" customHeight="1" x14ac:dyDescent="0.15">
      <c r="A162" s="171"/>
      <c r="B162" s="172"/>
      <c r="C162" s="171"/>
      <c r="D162" s="18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spans="1:26" ht="13.5" customHeight="1" x14ac:dyDescent="0.15">
      <c r="A163" s="171"/>
      <c r="B163" s="172"/>
      <c r="C163" s="171"/>
      <c r="D163" s="18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spans="1:26" ht="13.5" customHeight="1" x14ac:dyDescent="0.15">
      <c r="A164" s="171"/>
      <c r="B164" s="172"/>
      <c r="C164" s="171"/>
      <c r="D164" s="18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spans="1:26" ht="13.5" customHeight="1" x14ac:dyDescent="0.15">
      <c r="A165" s="171"/>
      <c r="B165" s="172"/>
      <c r="C165" s="171"/>
      <c r="D165" s="18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:26" ht="13.5" customHeight="1" x14ac:dyDescent="0.15">
      <c r="A166" s="171"/>
      <c r="B166" s="172"/>
      <c r="C166" s="171"/>
      <c r="D166" s="18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:26" ht="13.5" customHeight="1" x14ac:dyDescent="0.15">
      <c r="A167" s="171"/>
      <c r="B167" s="172"/>
      <c r="C167" s="171"/>
      <c r="D167" s="18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:26" ht="13.5" customHeight="1" x14ac:dyDescent="0.15">
      <c r="A168" s="171"/>
      <c r="B168" s="172"/>
      <c r="C168" s="171"/>
      <c r="D168" s="18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:26" ht="13.5" customHeight="1" x14ac:dyDescent="0.15">
      <c r="A169" s="171"/>
      <c r="B169" s="172"/>
      <c r="C169" s="171"/>
      <c r="D169" s="18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:26" ht="13.5" customHeight="1" x14ac:dyDescent="0.15">
      <c r="A170" s="171"/>
      <c r="B170" s="172"/>
      <c r="C170" s="171"/>
      <c r="D170" s="18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:26" ht="13.5" customHeight="1" x14ac:dyDescent="0.15">
      <c r="A171" s="171"/>
      <c r="B171" s="172"/>
      <c r="C171" s="171"/>
      <c r="D171" s="18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:26" ht="13.5" customHeight="1" x14ac:dyDescent="0.15">
      <c r="A172" s="171"/>
      <c r="B172" s="172"/>
      <c r="C172" s="171"/>
      <c r="D172" s="18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:26" ht="13.5" customHeight="1" x14ac:dyDescent="0.15">
      <c r="A173" s="171"/>
      <c r="B173" s="172"/>
      <c r="C173" s="171"/>
      <c r="D173" s="18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:26" ht="13.5" customHeight="1" x14ac:dyDescent="0.15">
      <c r="A174" s="171"/>
      <c r="B174" s="172"/>
      <c r="C174" s="171"/>
      <c r="D174" s="18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:26" ht="13.5" customHeight="1" x14ac:dyDescent="0.15">
      <c r="A175" s="171"/>
      <c r="B175" s="172"/>
      <c r="C175" s="171"/>
      <c r="D175" s="18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:26" ht="13.5" customHeight="1" x14ac:dyDescent="0.15">
      <c r="A176" s="171"/>
      <c r="B176" s="172"/>
      <c r="C176" s="171"/>
      <c r="D176" s="18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:26" ht="13.5" customHeight="1" x14ac:dyDescent="0.15">
      <c r="A177" s="171"/>
      <c r="B177" s="172"/>
      <c r="C177" s="171"/>
      <c r="D177" s="18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:26" ht="13.5" customHeight="1" x14ac:dyDescent="0.15">
      <c r="A178" s="171"/>
      <c r="B178" s="172"/>
      <c r="C178" s="171"/>
      <c r="D178" s="18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:26" ht="13.5" customHeight="1" x14ac:dyDescent="0.15">
      <c r="A179" s="171"/>
      <c r="B179" s="172"/>
      <c r="C179" s="171"/>
      <c r="D179" s="18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:26" ht="13.5" customHeight="1" x14ac:dyDescent="0.15">
      <c r="A180" s="171"/>
      <c r="B180" s="172"/>
      <c r="C180" s="171"/>
      <c r="D180" s="18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:26" ht="13.5" customHeight="1" x14ac:dyDescent="0.15">
      <c r="A181" s="171"/>
      <c r="B181" s="172"/>
      <c r="C181" s="171"/>
      <c r="D181" s="18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:26" ht="13.5" customHeight="1" x14ac:dyDescent="0.15">
      <c r="A182" s="171"/>
      <c r="B182" s="172"/>
      <c r="C182" s="171"/>
      <c r="D182" s="18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:26" ht="13.5" customHeight="1" x14ac:dyDescent="0.15">
      <c r="A183" s="171"/>
      <c r="B183" s="172"/>
      <c r="C183" s="171"/>
      <c r="D183" s="18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:26" ht="13.5" customHeight="1" x14ac:dyDescent="0.15">
      <c r="A184" s="171"/>
      <c r="B184" s="172"/>
      <c r="C184" s="171"/>
      <c r="D184" s="18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:26" ht="13.5" customHeight="1" x14ac:dyDescent="0.15">
      <c r="A185" s="171"/>
      <c r="B185" s="172"/>
      <c r="C185" s="171"/>
      <c r="D185" s="18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:26" ht="13.5" customHeight="1" x14ac:dyDescent="0.15">
      <c r="A186" s="171"/>
      <c r="B186" s="172"/>
      <c r="C186" s="171"/>
      <c r="D186" s="18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:26" ht="13.5" customHeight="1" x14ac:dyDescent="0.15">
      <c r="A187" s="171"/>
      <c r="B187" s="172"/>
      <c r="C187" s="171"/>
      <c r="D187" s="18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:26" ht="13.5" customHeight="1" x14ac:dyDescent="0.15">
      <c r="A188" s="171"/>
      <c r="B188" s="172"/>
      <c r="C188" s="171"/>
      <c r="D188" s="18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:26" ht="13.5" customHeight="1" x14ac:dyDescent="0.15">
      <c r="A189" s="171"/>
      <c r="B189" s="172"/>
      <c r="C189" s="171"/>
      <c r="D189" s="18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:26" ht="13.5" customHeight="1" x14ac:dyDescent="0.15">
      <c r="A190" s="171"/>
      <c r="B190" s="172"/>
      <c r="C190" s="171"/>
      <c r="D190" s="18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:26" ht="13.5" customHeight="1" x14ac:dyDescent="0.15">
      <c r="A191" s="171"/>
      <c r="B191" s="172"/>
      <c r="C191" s="171"/>
      <c r="D191" s="18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:26" ht="13.5" customHeight="1" x14ac:dyDescent="0.15">
      <c r="A192" s="171"/>
      <c r="B192" s="172"/>
      <c r="C192" s="171"/>
      <c r="D192" s="18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:26" ht="13.5" customHeight="1" x14ac:dyDescent="0.15">
      <c r="A193" s="171"/>
      <c r="B193" s="172"/>
      <c r="C193" s="171"/>
      <c r="D193" s="18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:26" ht="13.5" customHeight="1" x14ac:dyDescent="0.15">
      <c r="A194" s="171"/>
      <c r="B194" s="172"/>
      <c r="C194" s="171"/>
      <c r="D194" s="18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:26" ht="13.5" customHeight="1" x14ac:dyDescent="0.15">
      <c r="A195" s="171"/>
      <c r="B195" s="172"/>
      <c r="C195" s="171"/>
      <c r="D195" s="18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:26" ht="13.5" customHeight="1" x14ac:dyDescent="0.15">
      <c r="A196" s="171"/>
      <c r="B196" s="172"/>
      <c r="C196" s="171"/>
      <c r="D196" s="18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:26" ht="13.5" customHeight="1" x14ac:dyDescent="0.15">
      <c r="A197" s="171"/>
      <c r="B197" s="172"/>
      <c r="C197" s="171"/>
      <c r="D197" s="18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:26" ht="13.5" customHeight="1" x14ac:dyDescent="0.15">
      <c r="A198" s="171"/>
      <c r="B198" s="172"/>
      <c r="C198" s="171"/>
      <c r="D198" s="18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:26" ht="13.5" customHeight="1" x14ac:dyDescent="0.15">
      <c r="A199" s="171"/>
      <c r="B199" s="172"/>
      <c r="C199" s="171"/>
      <c r="D199" s="18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:26" ht="13.5" customHeight="1" x14ac:dyDescent="0.15">
      <c r="A200" s="171"/>
      <c r="B200" s="172"/>
      <c r="C200" s="171"/>
      <c r="D200" s="18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:26" ht="13.5" customHeight="1" x14ac:dyDescent="0.15">
      <c r="A201" s="171"/>
      <c r="B201" s="172"/>
      <c r="C201" s="171"/>
      <c r="D201" s="18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:26" ht="13.5" customHeight="1" x14ac:dyDescent="0.15">
      <c r="A202" s="171"/>
      <c r="B202" s="172"/>
      <c r="C202" s="171"/>
      <c r="D202" s="18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:26" ht="13.5" customHeight="1" x14ac:dyDescent="0.15">
      <c r="A203" s="171"/>
      <c r="B203" s="172"/>
      <c r="C203" s="171"/>
      <c r="D203" s="18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:26" ht="13.5" customHeight="1" x14ac:dyDescent="0.15">
      <c r="A204" s="171"/>
      <c r="B204" s="172"/>
      <c r="C204" s="171"/>
      <c r="D204" s="18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:26" ht="13.5" customHeight="1" x14ac:dyDescent="0.15">
      <c r="A205" s="171"/>
      <c r="B205" s="172"/>
      <c r="C205" s="171"/>
      <c r="D205" s="18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:26" ht="13.5" customHeight="1" x14ac:dyDescent="0.15">
      <c r="A206" s="171"/>
      <c r="B206" s="172"/>
      <c r="C206" s="171"/>
      <c r="D206" s="18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:26" ht="13.5" customHeight="1" x14ac:dyDescent="0.15">
      <c r="A207" s="171"/>
      <c r="B207" s="172"/>
      <c r="C207" s="171"/>
      <c r="D207" s="18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:26" ht="13.5" customHeight="1" x14ac:dyDescent="0.15">
      <c r="A208" s="171"/>
      <c r="B208" s="172"/>
      <c r="C208" s="171"/>
      <c r="D208" s="18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:26" ht="13.5" customHeight="1" x14ac:dyDescent="0.15">
      <c r="A209" s="171"/>
      <c r="B209" s="172"/>
      <c r="C209" s="171"/>
      <c r="D209" s="18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:26" ht="13.5" customHeight="1" x14ac:dyDescent="0.15">
      <c r="A210" s="171"/>
      <c r="B210" s="172"/>
      <c r="C210" s="171"/>
      <c r="D210" s="18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:26" ht="13.5" customHeight="1" x14ac:dyDescent="0.15">
      <c r="A211" s="171"/>
      <c r="B211" s="172"/>
      <c r="C211" s="171"/>
      <c r="D211" s="18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:26" ht="13.5" customHeight="1" x14ac:dyDescent="0.15">
      <c r="A212" s="171"/>
      <c r="B212" s="172"/>
      <c r="C212" s="171"/>
      <c r="D212" s="18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:26" ht="13.5" customHeight="1" x14ac:dyDescent="0.15">
      <c r="A213" s="171"/>
      <c r="B213" s="172"/>
      <c r="C213" s="171"/>
      <c r="D213" s="18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:26" ht="13.5" customHeight="1" x14ac:dyDescent="0.15">
      <c r="A214" s="171"/>
      <c r="B214" s="172"/>
      <c r="C214" s="171"/>
      <c r="D214" s="18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:26" ht="13.5" customHeight="1" x14ac:dyDescent="0.15">
      <c r="A215" s="171"/>
      <c r="B215" s="172"/>
      <c r="C215" s="171"/>
      <c r="D215" s="18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:26" ht="13.5" customHeight="1" x14ac:dyDescent="0.15">
      <c r="A216" s="171"/>
      <c r="B216" s="172"/>
      <c r="C216" s="171"/>
      <c r="D216" s="18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:26" ht="13.5" customHeight="1" x14ac:dyDescent="0.15">
      <c r="A217" s="171"/>
      <c r="B217" s="172"/>
      <c r="C217" s="171"/>
      <c r="D217" s="18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:26" ht="13.5" customHeight="1" x14ac:dyDescent="0.15">
      <c r="A218" s="171"/>
      <c r="B218" s="172"/>
      <c r="C218" s="171"/>
      <c r="D218" s="18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:26" ht="13.5" customHeight="1" x14ac:dyDescent="0.15">
      <c r="A219" s="171"/>
      <c r="B219" s="172"/>
      <c r="C219" s="171"/>
      <c r="D219" s="18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:26" ht="13.5" customHeight="1" x14ac:dyDescent="0.15">
      <c r="A220" s="171"/>
      <c r="B220" s="172"/>
      <c r="C220" s="171"/>
      <c r="D220" s="18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:26" ht="13.5" customHeight="1" x14ac:dyDescent="0.15">
      <c r="A221" s="171"/>
      <c r="B221" s="172"/>
      <c r="C221" s="171"/>
      <c r="D221" s="18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:26" ht="13.5" customHeight="1" x14ac:dyDescent="0.15">
      <c r="A222" s="171"/>
      <c r="B222" s="172"/>
      <c r="C222" s="171"/>
      <c r="D222" s="18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:26" ht="13.5" customHeight="1" x14ac:dyDescent="0.15">
      <c r="A223" s="171"/>
      <c r="B223" s="172"/>
      <c r="C223" s="171"/>
      <c r="D223" s="18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:26" ht="13.5" customHeight="1" x14ac:dyDescent="0.15">
      <c r="A224" s="171"/>
      <c r="B224" s="172"/>
      <c r="C224" s="171"/>
      <c r="D224" s="18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:26" ht="13.5" customHeight="1" x14ac:dyDescent="0.15">
      <c r="A225" s="171"/>
      <c r="B225" s="172"/>
      <c r="C225" s="171"/>
      <c r="D225" s="18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:26" ht="13.5" customHeight="1" x14ac:dyDescent="0.15">
      <c r="A226" s="171"/>
      <c r="B226" s="172"/>
      <c r="C226" s="171"/>
      <c r="D226" s="18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:26" ht="13.5" customHeight="1" x14ac:dyDescent="0.15">
      <c r="A227" s="171"/>
      <c r="B227" s="172"/>
      <c r="C227" s="171"/>
      <c r="D227" s="18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spans="1:26" ht="13.5" customHeight="1" x14ac:dyDescent="0.15">
      <c r="A228" s="171"/>
      <c r="B228" s="172"/>
      <c r="C228" s="171"/>
      <c r="D228" s="18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spans="1:26" ht="13.5" customHeight="1" x14ac:dyDescent="0.15">
      <c r="A229" s="171"/>
      <c r="B229" s="172"/>
      <c r="C229" s="171"/>
      <c r="D229" s="18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spans="1:26" ht="13.5" customHeight="1" x14ac:dyDescent="0.15">
      <c r="A230" s="171"/>
      <c r="B230" s="172"/>
      <c r="C230" s="171"/>
      <c r="D230" s="18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spans="1:26" ht="13.5" customHeight="1" x14ac:dyDescent="0.15">
      <c r="A231" s="171"/>
      <c r="B231" s="172"/>
      <c r="C231" s="171"/>
      <c r="D231" s="18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spans="1:26" ht="13.5" customHeight="1" x14ac:dyDescent="0.15">
      <c r="A232" s="171"/>
      <c r="B232" s="172"/>
      <c r="C232" s="171"/>
      <c r="D232" s="18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spans="1:26" ht="13.5" customHeight="1" x14ac:dyDescent="0.15">
      <c r="A233" s="171"/>
      <c r="B233" s="172"/>
      <c r="C233" s="171"/>
      <c r="D233" s="18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spans="1:26" ht="13.5" customHeight="1" x14ac:dyDescent="0.15">
      <c r="A234" s="171"/>
      <c r="B234" s="172"/>
      <c r="C234" s="171"/>
      <c r="D234" s="18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spans="1:26" ht="13.5" customHeight="1" x14ac:dyDescent="0.15">
      <c r="A235" s="171"/>
      <c r="B235" s="172"/>
      <c r="C235" s="171"/>
      <c r="D235" s="18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spans="1:26" ht="13.5" customHeight="1" x14ac:dyDescent="0.15">
      <c r="A236" s="171"/>
      <c r="B236" s="172"/>
      <c r="C236" s="171"/>
      <c r="D236" s="18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spans="1:26" ht="13.5" customHeight="1" x14ac:dyDescent="0.15">
      <c r="A237" s="171"/>
      <c r="B237" s="172"/>
      <c r="C237" s="171"/>
      <c r="D237" s="18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spans="1:26" ht="13.5" customHeight="1" x14ac:dyDescent="0.15">
      <c r="A238" s="171"/>
      <c r="B238" s="172"/>
      <c r="C238" s="171"/>
      <c r="D238" s="18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spans="1:26" ht="13.5" customHeight="1" x14ac:dyDescent="0.15">
      <c r="A239" s="171"/>
      <c r="B239" s="172"/>
      <c r="C239" s="171"/>
      <c r="D239" s="18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spans="1:26" ht="13.5" customHeight="1" x14ac:dyDescent="0.15">
      <c r="A240" s="171"/>
      <c r="B240" s="172"/>
      <c r="C240" s="171"/>
      <c r="D240" s="18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spans="1:26" ht="13.5" customHeight="1" x14ac:dyDescent="0.15">
      <c r="A241" s="171"/>
      <c r="B241" s="172"/>
      <c r="C241" s="171"/>
      <c r="D241" s="18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spans="1:26" ht="13.5" customHeight="1" x14ac:dyDescent="0.15">
      <c r="A242" s="171"/>
      <c r="B242" s="172"/>
      <c r="C242" s="171"/>
      <c r="D242" s="18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spans="1:26" ht="13.5" customHeight="1" x14ac:dyDescent="0.15">
      <c r="A243" s="171"/>
      <c r="B243" s="172"/>
      <c r="C243" s="171"/>
      <c r="D243" s="18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spans="1:26" ht="13.5" customHeight="1" x14ac:dyDescent="0.15">
      <c r="A244" s="171"/>
      <c r="B244" s="172"/>
      <c r="C244" s="171"/>
      <c r="D244" s="18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spans="1:26" ht="13.5" customHeight="1" x14ac:dyDescent="0.15">
      <c r="A245" s="171"/>
      <c r="B245" s="172"/>
      <c r="C245" s="171"/>
      <c r="D245" s="18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spans="1:26" ht="13.5" customHeight="1" x14ac:dyDescent="0.15">
      <c r="A246" s="171"/>
      <c r="B246" s="172"/>
      <c r="C246" s="171"/>
      <c r="D246" s="18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spans="1:26" ht="13.5" customHeight="1" x14ac:dyDescent="0.15">
      <c r="A247" s="171"/>
      <c r="B247" s="172"/>
      <c r="C247" s="171"/>
      <c r="D247" s="18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spans="1:26" ht="13.5" customHeight="1" x14ac:dyDescent="0.15">
      <c r="A248" s="171"/>
      <c r="B248" s="172"/>
      <c r="C248" s="171"/>
      <c r="D248" s="18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spans="1:26" ht="13.5" customHeight="1" x14ac:dyDescent="0.15">
      <c r="A249" s="171"/>
      <c r="B249" s="172"/>
      <c r="C249" s="171"/>
      <c r="D249" s="18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spans="1:26" ht="13.5" customHeight="1" x14ac:dyDescent="0.15">
      <c r="A250" s="171"/>
      <c r="B250" s="172"/>
      <c r="C250" s="171"/>
      <c r="D250" s="18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spans="1:26" ht="13.5" customHeight="1" x14ac:dyDescent="0.15">
      <c r="A251" s="171"/>
      <c r="B251" s="172"/>
      <c r="C251" s="171"/>
      <c r="D251" s="18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spans="1:26" ht="13.5" customHeight="1" x14ac:dyDescent="0.15">
      <c r="A252" s="171"/>
      <c r="B252" s="172"/>
      <c r="C252" s="171"/>
      <c r="D252" s="18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8">
    <mergeCell ref="B51:D51"/>
    <mergeCell ref="B52:D52"/>
    <mergeCell ref="A6:B6"/>
    <mergeCell ref="C6:E6"/>
    <mergeCell ref="F6:K6"/>
    <mergeCell ref="A7:B7"/>
    <mergeCell ref="C7:E7"/>
    <mergeCell ref="F7:K7"/>
    <mergeCell ref="O6:T6"/>
    <mergeCell ref="O7:T7"/>
    <mergeCell ref="D20:E20"/>
    <mergeCell ref="B49:D49"/>
    <mergeCell ref="B50:D50"/>
    <mergeCell ref="L6:N6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50:M50" xr:uid="{00000000-0002-0000-0600-000000000000}">
      <formula1>"P,F"</formula1>
    </dataValidation>
    <dataValidation type="list" allowBlank="1" showInputMessage="1" showErrorMessage="1" prompt=" - " sqref="F10:M48" xr:uid="{00000000-0002-0000-0600-000001000000}">
      <formula1>"O"</formula1>
    </dataValidation>
    <dataValidation type="list" allowBlank="1" showInputMessage="1" showErrorMessage="1" prompt=" - " sqref="F49:M49" xr:uid="{00000000-0002-0000-06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25" defaultRowHeight="15" customHeight="1" x14ac:dyDescent="0.15"/>
  <cols>
    <col min="1" max="1" width="6.75" customWidth="1"/>
    <col min="2" max="2" width="13.375" customWidth="1"/>
    <col min="3" max="3" width="10.75" customWidth="1"/>
    <col min="4" max="4" width="11.375" customWidth="1"/>
    <col min="5" max="5" width="1.75" hidden="1" customWidth="1"/>
    <col min="6" max="6" width="5.875" customWidth="1"/>
    <col min="7" max="7" width="6.125" customWidth="1"/>
    <col min="8" max="8" width="5.625" customWidth="1"/>
    <col min="9" max="9" width="7.125" customWidth="1"/>
    <col min="10" max="11" width="5.125" customWidth="1"/>
    <col min="12" max="12" width="4.5" customWidth="1"/>
    <col min="13" max="13" width="3.875" customWidth="1"/>
    <col min="14" max="14" width="5.625" customWidth="1"/>
    <col min="15" max="15" width="4.375" customWidth="1"/>
    <col min="16" max="21" width="2.875" customWidth="1"/>
    <col min="22" max="23" width="9" customWidth="1"/>
    <col min="24" max="26" width="8" customWidth="1"/>
  </cols>
  <sheetData>
    <row r="1" spans="1:26" ht="13.5" customHeight="1" x14ac:dyDescent="0.15">
      <c r="A1" s="171"/>
      <c r="B1" s="172"/>
      <c r="C1" s="171"/>
      <c r="D1" s="18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spans="1:26" ht="13.5" customHeight="1" x14ac:dyDescent="0.15">
      <c r="A2" s="312" t="s">
        <v>106</v>
      </c>
      <c r="B2" s="277"/>
      <c r="C2" s="313" t="str">
        <f>FunctionList!E13</f>
        <v>Create Facility</v>
      </c>
      <c r="D2" s="277"/>
      <c r="E2" s="171"/>
      <c r="F2" s="314" t="s">
        <v>77</v>
      </c>
      <c r="G2" s="276"/>
      <c r="H2" s="276"/>
      <c r="I2" s="276"/>
      <c r="J2" s="276"/>
      <c r="K2" s="277"/>
      <c r="L2" s="313" t="str">
        <f>FunctionList!D13</f>
        <v>Create Facility</v>
      </c>
      <c r="M2" s="276"/>
      <c r="N2" s="276"/>
      <c r="O2" s="276"/>
      <c r="P2" s="276"/>
      <c r="Q2" s="276"/>
      <c r="R2" s="276"/>
      <c r="S2" s="276"/>
      <c r="T2" s="282"/>
      <c r="U2" s="171"/>
      <c r="V2" s="171"/>
      <c r="W2" s="171"/>
      <c r="X2" s="171"/>
      <c r="Y2" s="171"/>
      <c r="Z2" s="171"/>
    </row>
    <row r="3" spans="1:26" ht="13.5" customHeight="1" x14ac:dyDescent="0.15">
      <c r="A3" s="319" t="s">
        <v>107</v>
      </c>
      <c r="B3" s="252"/>
      <c r="C3" s="315" t="s">
        <v>49</v>
      </c>
      <c r="D3" s="284"/>
      <c r="E3" s="285"/>
      <c r="F3" s="320" t="s">
        <v>108</v>
      </c>
      <c r="G3" s="251"/>
      <c r="H3" s="251"/>
      <c r="I3" s="251"/>
      <c r="J3" s="251"/>
      <c r="K3" s="252"/>
      <c r="L3" s="317" t="s">
        <v>49</v>
      </c>
      <c r="M3" s="284"/>
      <c r="N3" s="284"/>
      <c r="O3" s="175"/>
      <c r="P3" s="175"/>
      <c r="Q3" s="175"/>
      <c r="R3" s="175"/>
      <c r="S3" s="175"/>
      <c r="T3" s="176"/>
      <c r="U3" s="171"/>
      <c r="V3" s="171"/>
      <c r="W3" s="171"/>
      <c r="X3" s="171"/>
      <c r="Y3" s="171"/>
      <c r="Z3" s="171"/>
    </row>
    <row r="4" spans="1:26" ht="13.5" customHeight="1" x14ac:dyDescent="0.15">
      <c r="A4" s="319" t="s">
        <v>109</v>
      </c>
      <c r="B4" s="252"/>
      <c r="C4" s="290">
        <v>300</v>
      </c>
      <c r="D4" s="251"/>
      <c r="E4" s="177"/>
      <c r="F4" s="320" t="s">
        <v>110</v>
      </c>
      <c r="G4" s="251"/>
      <c r="H4" s="251"/>
      <c r="I4" s="251"/>
      <c r="J4" s="251"/>
      <c r="K4" s="252"/>
      <c r="L4" s="292">
        <f>IF(FunctionList!E6&lt;&gt;"N/A",SUM(C4*FunctionList!E6/1000,-O7),"N/A")</f>
        <v>0.69999999999999929</v>
      </c>
      <c r="M4" s="251"/>
      <c r="N4" s="251"/>
      <c r="O4" s="251"/>
      <c r="P4" s="251"/>
      <c r="Q4" s="251"/>
      <c r="R4" s="251"/>
      <c r="S4" s="251"/>
      <c r="T4" s="293"/>
      <c r="U4" s="171"/>
      <c r="V4" s="178"/>
      <c r="W4" s="171"/>
      <c r="X4" s="171"/>
      <c r="Y4" s="171"/>
      <c r="Z4" s="171"/>
    </row>
    <row r="5" spans="1:26" ht="13.5" customHeight="1" x14ac:dyDescent="0.15">
      <c r="A5" s="319" t="s">
        <v>111</v>
      </c>
      <c r="B5" s="252"/>
      <c r="C5" s="321" t="s">
        <v>140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93"/>
      <c r="U5" s="171"/>
      <c r="V5" s="171"/>
      <c r="W5" s="171"/>
      <c r="X5" s="171"/>
      <c r="Y5" s="171"/>
      <c r="Z5" s="171"/>
    </row>
    <row r="6" spans="1:26" ht="13.5" customHeight="1" x14ac:dyDescent="0.15">
      <c r="A6" s="308" t="s">
        <v>92</v>
      </c>
      <c r="B6" s="252"/>
      <c r="C6" s="295" t="s">
        <v>93</v>
      </c>
      <c r="D6" s="251"/>
      <c r="E6" s="252"/>
      <c r="F6" s="295" t="s">
        <v>94</v>
      </c>
      <c r="G6" s="251"/>
      <c r="H6" s="251"/>
      <c r="I6" s="251"/>
      <c r="J6" s="251"/>
      <c r="K6" s="252"/>
      <c r="L6" s="309" t="s">
        <v>112</v>
      </c>
      <c r="M6" s="251"/>
      <c r="N6" s="251"/>
      <c r="O6" s="295" t="s">
        <v>97</v>
      </c>
      <c r="P6" s="251"/>
      <c r="Q6" s="251"/>
      <c r="R6" s="251"/>
      <c r="S6" s="251"/>
      <c r="T6" s="293"/>
      <c r="U6" s="171"/>
      <c r="V6" s="178"/>
      <c r="W6" s="171"/>
      <c r="X6" s="171"/>
      <c r="Y6" s="171"/>
      <c r="Z6" s="171"/>
    </row>
    <row r="7" spans="1:26" ht="13.5" customHeight="1" x14ac:dyDescent="0.15">
      <c r="A7" s="310">
        <v>7</v>
      </c>
      <c r="B7" s="311"/>
      <c r="C7" s="296">
        <v>1</v>
      </c>
      <c r="D7" s="297"/>
      <c r="E7" s="311"/>
      <c r="F7" s="296">
        <f>SUM(O7,-A7,-C7)</f>
        <v>0</v>
      </c>
      <c r="G7" s="297"/>
      <c r="H7" s="297"/>
      <c r="I7" s="297"/>
      <c r="J7" s="297"/>
      <c r="K7" s="311"/>
      <c r="L7" s="179">
        <v>1</v>
      </c>
      <c r="M7" s="179">
        <v>4</v>
      </c>
      <c r="N7" s="179">
        <v>3</v>
      </c>
      <c r="O7" s="296">
        <f>COUNTA(E9:HT9)</f>
        <v>8</v>
      </c>
      <c r="P7" s="297"/>
      <c r="Q7" s="297"/>
      <c r="R7" s="297"/>
      <c r="S7" s="297"/>
      <c r="T7" s="298"/>
      <c r="U7" s="180"/>
      <c r="V7" s="171"/>
      <c r="W7" s="171"/>
      <c r="X7" s="171"/>
      <c r="Y7" s="171"/>
      <c r="Z7" s="171"/>
    </row>
    <row r="8" spans="1:26" ht="11.25" customHeight="1" x14ac:dyDescent="0.15">
      <c r="A8" s="171"/>
      <c r="B8" s="172"/>
      <c r="C8" s="171"/>
      <c r="D8" s="18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spans="1:26" ht="46.5" customHeight="1" x14ac:dyDescent="0.15">
      <c r="A9" s="182"/>
      <c r="B9" s="234"/>
      <c r="C9" s="235"/>
      <c r="D9" s="236"/>
      <c r="E9" s="235"/>
      <c r="F9" s="237" t="s">
        <v>113</v>
      </c>
      <c r="G9" s="237" t="s">
        <v>114</v>
      </c>
      <c r="H9" s="237" t="s">
        <v>115</v>
      </c>
      <c r="I9" s="237" t="s">
        <v>141</v>
      </c>
      <c r="J9" s="237" t="s">
        <v>142</v>
      </c>
      <c r="K9" s="237" t="s">
        <v>143</v>
      </c>
      <c r="L9" s="237" t="s">
        <v>144</v>
      </c>
      <c r="M9" s="237" t="s">
        <v>145</v>
      </c>
      <c r="N9" s="187"/>
      <c r="O9" s="178"/>
      <c r="P9" s="171"/>
      <c r="Q9" s="171"/>
      <c r="R9" s="171"/>
      <c r="S9" s="171"/>
    </row>
    <row r="10" spans="1:26" ht="13.5" customHeight="1" x14ac:dyDescent="0.3">
      <c r="A10" s="188" t="s">
        <v>116</v>
      </c>
      <c r="B10" s="189" t="s">
        <v>117</v>
      </c>
      <c r="C10" s="190"/>
      <c r="D10" s="191"/>
      <c r="E10" s="192"/>
      <c r="F10" s="193"/>
      <c r="G10" s="193"/>
      <c r="H10" s="193"/>
      <c r="I10" s="193"/>
      <c r="J10" s="193"/>
      <c r="K10" s="193"/>
      <c r="L10" s="193"/>
      <c r="M10" s="193"/>
      <c r="N10" s="171"/>
      <c r="O10" s="171"/>
      <c r="P10" s="171"/>
      <c r="Q10" s="171"/>
      <c r="R10" s="171"/>
      <c r="S10" s="171"/>
    </row>
    <row r="11" spans="1:26" ht="13.5" customHeight="1" x14ac:dyDescent="0.3">
      <c r="A11" s="194"/>
      <c r="B11" s="189"/>
      <c r="C11" s="190"/>
      <c r="D11" s="191" t="s">
        <v>118</v>
      </c>
      <c r="E11" s="195"/>
      <c r="F11" s="193" t="s">
        <v>119</v>
      </c>
      <c r="G11" s="193" t="s">
        <v>119</v>
      </c>
      <c r="H11" s="193" t="s">
        <v>119</v>
      </c>
      <c r="I11" s="193" t="s">
        <v>119</v>
      </c>
      <c r="J11" s="193" t="s">
        <v>119</v>
      </c>
      <c r="K11" s="193" t="s">
        <v>119</v>
      </c>
      <c r="L11" s="193" t="s">
        <v>119</v>
      </c>
      <c r="M11" s="193" t="s">
        <v>119</v>
      </c>
      <c r="N11" s="171"/>
      <c r="O11" s="178"/>
      <c r="P11" s="171"/>
      <c r="Q11" s="171"/>
      <c r="R11" s="171"/>
      <c r="S11" s="171"/>
    </row>
    <row r="12" spans="1:26" ht="13.5" customHeight="1" x14ac:dyDescent="0.3">
      <c r="A12" s="194"/>
      <c r="B12" s="189"/>
      <c r="C12" s="190"/>
      <c r="D12" s="191" t="s">
        <v>172</v>
      </c>
      <c r="E12" s="195"/>
      <c r="F12" s="193" t="s">
        <v>119</v>
      </c>
      <c r="G12" s="193" t="s">
        <v>119</v>
      </c>
      <c r="H12" s="193" t="s">
        <v>119</v>
      </c>
      <c r="I12" s="193" t="s">
        <v>119</v>
      </c>
      <c r="J12" s="193" t="s">
        <v>119</v>
      </c>
      <c r="K12" s="193" t="s">
        <v>119</v>
      </c>
      <c r="L12" s="193"/>
      <c r="M12" s="193" t="s">
        <v>119</v>
      </c>
      <c r="N12" s="171"/>
      <c r="O12" s="171"/>
      <c r="P12" s="171"/>
      <c r="Q12" s="171"/>
      <c r="R12" s="171"/>
      <c r="S12" s="171"/>
    </row>
    <row r="13" spans="1:26" ht="13.5" customHeight="1" x14ac:dyDescent="0.3">
      <c r="A13" s="194"/>
      <c r="B13" s="189"/>
      <c r="C13" s="190"/>
      <c r="D13" s="191"/>
      <c r="E13" s="196"/>
      <c r="F13" s="193"/>
      <c r="G13" s="193"/>
      <c r="H13" s="193"/>
      <c r="I13" s="193"/>
      <c r="J13" s="193"/>
      <c r="K13" s="193"/>
      <c r="L13" s="193"/>
      <c r="M13" s="193"/>
      <c r="N13" s="171"/>
      <c r="O13" s="171"/>
      <c r="P13" s="171"/>
      <c r="Q13" s="171"/>
      <c r="R13" s="171"/>
      <c r="S13" s="171"/>
    </row>
    <row r="14" spans="1:26" ht="13.5" customHeight="1" x14ac:dyDescent="0.3">
      <c r="A14" s="194"/>
      <c r="B14" s="189" t="s">
        <v>173</v>
      </c>
      <c r="C14" s="190"/>
      <c r="D14" s="191"/>
      <c r="E14" s="198"/>
      <c r="F14" s="193"/>
      <c r="G14" s="193"/>
      <c r="H14" s="193"/>
      <c r="I14" s="193"/>
      <c r="J14" s="193"/>
      <c r="K14" s="193"/>
      <c r="L14" s="193"/>
      <c r="M14" s="193"/>
      <c r="N14" s="171"/>
      <c r="O14" s="171"/>
      <c r="P14" s="171"/>
      <c r="Q14" s="171"/>
      <c r="R14" s="171"/>
      <c r="S14" s="171"/>
    </row>
    <row r="15" spans="1:26" ht="13.5" customHeight="1" x14ac:dyDescent="0.3">
      <c r="A15" s="194"/>
      <c r="B15" s="189"/>
      <c r="C15" s="190"/>
      <c r="D15" s="191" t="s">
        <v>151</v>
      </c>
      <c r="E15" s="198"/>
      <c r="F15" s="193" t="s">
        <v>119</v>
      </c>
      <c r="G15" s="193"/>
      <c r="H15" s="193"/>
      <c r="I15" s="193"/>
      <c r="J15" s="193"/>
      <c r="K15" s="193"/>
      <c r="L15" s="193"/>
      <c r="M15" s="193" t="s">
        <v>119</v>
      </c>
      <c r="N15" s="171"/>
      <c r="O15" s="171"/>
      <c r="P15" s="178"/>
      <c r="Q15" s="171"/>
      <c r="R15" s="171"/>
      <c r="S15" s="171"/>
    </row>
    <row r="16" spans="1:26" ht="13.5" customHeight="1" x14ac:dyDescent="0.3">
      <c r="A16" s="194"/>
      <c r="B16" s="189"/>
      <c r="C16" s="190"/>
      <c r="D16" s="191" t="s">
        <v>152</v>
      </c>
      <c r="E16" s="198"/>
      <c r="F16" s="193"/>
      <c r="G16" s="193" t="s">
        <v>119</v>
      </c>
      <c r="H16" s="193"/>
      <c r="I16" s="193"/>
      <c r="J16" s="193"/>
      <c r="K16" s="193"/>
      <c r="L16" s="193"/>
      <c r="M16" s="193"/>
      <c r="N16" s="171"/>
      <c r="O16" s="171"/>
      <c r="P16" s="171"/>
      <c r="Q16" s="171"/>
      <c r="R16" s="171"/>
      <c r="S16" s="171"/>
    </row>
    <row r="17" spans="1:19" ht="13.5" customHeight="1" x14ac:dyDescent="0.3">
      <c r="A17" s="194"/>
      <c r="B17" s="189"/>
      <c r="C17" s="190"/>
      <c r="D17" s="249" t="s">
        <v>191</v>
      </c>
      <c r="E17" s="198"/>
      <c r="F17" s="193"/>
      <c r="G17" s="193"/>
      <c r="H17" s="193" t="s">
        <v>119</v>
      </c>
      <c r="I17" s="193" t="s">
        <v>119</v>
      </c>
      <c r="J17" s="193"/>
      <c r="K17" s="193" t="s">
        <v>119</v>
      </c>
      <c r="L17" s="193" t="s">
        <v>119</v>
      </c>
      <c r="M17" s="193"/>
      <c r="N17" s="199"/>
      <c r="O17" s="171"/>
      <c r="P17" s="171"/>
      <c r="Q17" s="171"/>
      <c r="R17" s="171"/>
      <c r="S17" s="171"/>
    </row>
    <row r="18" spans="1:19" ht="13.5" customHeight="1" x14ac:dyDescent="0.3">
      <c r="A18" s="194"/>
      <c r="B18" s="189"/>
      <c r="C18" s="190"/>
      <c r="D18" s="191" t="s">
        <v>153</v>
      </c>
      <c r="E18" s="198"/>
      <c r="F18" s="193"/>
      <c r="G18" s="193"/>
      <c r="H18" s="193"/>
      <c r="I18" s="193"/>
      <c r="J18" s="193" t="s">
        <v>119</v>
      </c>
      <c r="K18" s="193"/>
      <c r="L18" s="193"/>
      <c r="M18" s="193"/>
      <c r="N18" s="199"/>
      <c r="O18" s="171"/>
      <c r="P18" s="171"/>
      <c r="Q18" s="171"/>
      <c r="R18" s="171"/>
      <c r="S18" s="171"/>
    </row>
    <row r="19" spans="1:19" ht="13.5" customHeight="1" x14ac:dyDescent="0.3">
      <c r="A19" s="194"/>
      <c r="B19" s="189" t="s">
        <v>175</v>
      </c>
      <c r="C19" s="190"/>
      <c r="D19" s="191"/>
      <c r="E19" s="198"/>
      <c r="F19" s="193"/>
      <c r="G19" s="193"/>
      <c r="H19" s="193"/>
      <c r="I19" s="193"/>
      <c r="J19" s="193"/>
      <c r="K19" s="193"/>
      <c r="L19" s="193"/>
      <c r="M19" s="193"/>
      <c r="N19" s="171"/>
      <c r="O19" s="171"/>
      <c r="P19" s="171"/>
      <c r="Q19" s="171"/>
      <c r="R19" s="171"/>
      <c r="S19" s="171"/>
    </row>
    <row r="20" spans="1:19" ht="13.5" customHeight="1" x14ac:dyDescent="0.3">
      <c r="A20" s="194"/>
      <c r="B20" s="189"/>
      <c r="C20" s="190"/>
      <c r="D20" s="322" t="s">
        <v>176</v>
      </c>
      <c r="E20" s="323"/>
      <c r="F20" s="193" t="s">
        <v>119</v>
      </c>
      <c r="G20" s="193" t="s">
        <v>119</v>
      </c>
      <c r="H20" s="193" t="s">
        <v>119</v>
      </c>
      <c r="I20" s="193" t="s">
        <v>119</v>
      </c>
      <c r="J20" s="193" t="s">
        <v>119</v>
      </c>
      <c r="K20" s="193"/>
      <c r="L20" s="193"/>
      <c r="M20" s="193" t="s">
        <v>119</v>
      </c>
      <c r="N20" s="171"/>
      <c r="O20" s="171"/>
      <c r="P20" s="171"/>
      <c r="Q20" s="171"/>
      <c r="R20" s="171"/>
      <c r="S20" s="171"/>
    </row>
    <row r="21" spans="1:19" ht="13.5" customHeight="1" x14ac:dyDescent="0.3">
      <c r="A21" s="194"/>
      <c r="B21" s="189"/>
      <c r="C21" s="190"/>
      <c r="D21" s="191" t="s">
        <v>177</v>
      </c>
      <c r="E21" s="198"/>
      <c r="F21" s="193"/>
      <c r="G21" s="193"/>
      <c r="H21" s="193"/>
      <c r="I21" s="193"/>
      <c r="J21" s="193"/>
      <c r="K21" s="193" t="s">
        <v>119</v>
      </c>
      <c r="L21" s="193"/>
      <c r="M21" s="193"/>
      <c r="N21" s="171"/>
      <c r="O21" s="171"/>
      <c r="P21" s="171"/>
      <c r="Q21" s="171"/>
      <c r="R21" s="171"/>
      <c r="S21" s="171"/>
    </row>
    <row r="22" spans="1:19" ht="13.5" customHeight="1" x14ac:dyDescent="0.3">
      <c r="A22" s="194"/>
      <c r="B22" s="189"/>
      <c r="C22" s="190"/>
      <c r="D22" s="191" t="s">
        <v>178</v>
      </c>
      <c r="E22" s="198"/>
      <c r="F22" s="193"/>
      <c r="G22" s="193"/>
      <c r="H22" s="193"/>
      <c r="I22" s="193"/>
      <c r="J22" s="193"/>
      <c r="K22" s="193"/>
      <c r="L22" s="193" t="s">
        <v>119</v>
      </c>
      <c r="M22" s="193"/>
      <c r="N22" s="171"/>
      <c r="O22" s="171"/>
      <c r="P22" s="171"/>
      <c r="Q22" s="171"/>
      <c r="R22" s="171"/>
      <c r="S22" s="171"/>
    </row>
    <row r="23" spans="1:19" ht="13.5" customHeight="1" x14ac:dyDescent="0.3">
      <c r="A23" s="194"/>
      <c r="B23" s="189" t="s">
        <v>179</v>
      </c>
      <c r="C23" s="190"/>
      <c r="D23" s="191"/>
      <c r="E23" s="198"/>
      <c r="F23" s="193"/>
      <c r="G23" s="193"/>
      <c r="H23" s="193"/>
      <c r="I23" s="193"/>
      <c r="J23" s="193"/>
      <c r="K23" s="193"/>
      <c r="L23" s="193"/>
      <c r="M23" s="193"/>
      <c r="N23" s="171"/>
      <c r="O23" s="171"/>
      <c r="P23" s="171"/>
      <c r="Q23" s="171"/>
      <c r="R23" s="171"/>
      <c r="S23" s="171"/>
    </row>
    <row r="24" spans="1:19" ht="13.5" customHeight="1" x14ac:dyDescent="0.3">
      <c r="A24" s="194"/>
      <c r="B24" s="189"/>
      <c r="C24" s="190"/>
      <c r="D24" s="191">
        <v>0</v>
      </c>
      <c r="E24" s="198"/>
      <c r="F24" s="193"/>
      <c r="G24" s="193"/>
      <c r="H24" s="193" t="s">
        <v>119</v>
      </c>
      <c r="I24" s="193" t="s">
        <v>119</v>
      </c>
      <c r="J24" s="193" t="s">
        <v>119</v>
      </c>
      <c r="K24" s="193"/>
      <c r="L24" s="193"/>
      <c r="M24" s="193" t="s">
        <v>119</v>
      </c>
      <c r="N24" s="171"/>
      <c r="O24" s="171"/>
      <c r="P24" s="171"/>
      <c r="Q24" s="171"/>
      <c r="R24" s="171"/>
      <c r="S24" s="171"/>
    </row>
    <row r="25" spans="1:19" ht="13.5" customHeight="1" x14ac:dyDescent="0.3">
      <c r="A25" s="194"/>
      <c r="B25" s="189"/>
      <c r="C25" s="190"/>
      <c r="D25" s="191">
        <v>1</v>
      </c>
      <c r="E25" s="198"/>
      <c r="F25" s="193" t="s">
        <v>119</v>
      </c>
      <c r="G25" s="193" t="s">
        <v>119</v>
      </c>
      <c r="H25" s="193"/>
      <c r="I25" s="193"/>
      <c r="J25" s="193"/>
      <c r="K25" s="193" t="s">
        <v>119</v>
      </c>
      <c r="L25" s="193" t="s">
        <v>119</v>
      </c>
      <c r="M25" s="193"/>
      <c r="N25" s="171"/>
      <c r="O25" s="171"/>
      <c r="P25" s="171"/>
      <c r="Q25" s="171"/>
      <c r="R25" s="171"/>
      <c r="S25" s="171"/>
    </row>
    <row r="26" spans="1:19" ht="13.5" customHeight="1" x14ac:dyDescent="0.3">
      <c r="A26" s="194"/>
      <c r="B26" s="189"/>
      <c r="C26" s="190"/>
      <c r="D26" s="191"/>
      <c r="E26" s="198"/>
      <c r="F26" s="193"/>
      <c r="G26" s="193"/>
      <c r="H26" s="193"/>
      <c r="I26" s="193"/>
      <c r="J26" s="193"/>
      <c r="K26" s="193"/>
      <c r="L26" s="193"/>
      <c r="M26" s="193"/>
      <c r="N26" s="171"/>
      <c r="O26" s="171"/>
      <c r="P26" s="171"/>
      <c r="Q26" s="171"/>
      <c r="R26" s="171"/>
      <c r="S26" s="171"/>
    </row>
    <row r="27" spans="1:19" ht="13.5" customHeight="1" x14ac:dyDescent="0.3">
      <c r="A27" s="194"/>
      <c r="B27" s="189" t="s">
        <v>180</v>
      </c>
      <c r="C27" s="190"/>
      <c r="D27" s="191"/>
      <c r="E27" s="198"/>
      <c r="F27" s="193"/>
      <c r="G27" s="193"/>
      <c r="H27" s="193"/>
      <c r="I27" s="193"/>
      <c r="J27" s="193"/>
      <c r="K27" s="193"/>
      <c r="L27" s="193"/>
      <c r="M27" s="193"/>
      <c r="N27" s="171"/>
      <c r="O27" s="171"/>
      <c r="P27" s="171"/>
      <c r="Q27" s="171"/>
      <c r="R27" s="171"/>
      <c r="S27" s="171"/>
    </row>
    <row r="28" spans="1:19" ht="13.5" customHeight="1" x14ac:dyDescent="0.3">
      <c r="A28" s="194"/>
      <c r="B28" s="189"/>
      <c r="C28" s="190"/>
      <c r="D28" s="191" t="s">
        <v>156</v>
      </c>
      <c r="E28" s="198"/>
      <c r="F28" s="193"/>
      <c r="G28" s="193"/>
      <c r="H28" s="193"/>
      <c r="I28" s="193"/>
      <c r="J28" s="193"/>
      <c r="K28" s="193"/>
      <c r="L28" s="193"/>
      <c r="M28" s="193" t="s">
        <v>119</v>
      </c>
      <c r="N28" s="171"/>
      <c r="O28" s="171"/>
      <c r="P28" s="171"/>
      <c r="Q28" s="171"/>
      <c r="R28" s="171"/>
      <c r="S28" s="171"/>
    </row>
    <row r="29" spans="1:19" ht="13.5" customHeight="1" x14ac:dyDescent="0.3">
      <c r="A29" s="194"/>
      <c r="B29" s="189"/>
      <c r="C29" s="190"/>
      <c r="D29" s="191" t="s">
        <v>157</v>
      </c>
      <c r="E29" s="198"/>
      <c r="F29" s="193"/>
      <c r="G29" s="193"/>
      <c r="H29" s="193" t="s">
        <v>119</v>
      </c>
      <c r="I29" s="193"/>
      <c r="J29" s="193"/>
      <c r="K29" s="193"/>
      <c r="L29" s="193"/>
      <c r="M29" s="193"/>
      <c r="N29" s="171"/>
      <c r="O29" s="171"/>
      <c r="P29" s="171"/>
      <c r="Q29" s="171"/>
      <c r="R29" s="171"/>
      <c r="S29" s="171"/>
    </row>
    <row r="30" spans="1:19" ht="13.5" customHeight="1" x14ac:dyDescent="0.3">
      <c r="A30" s="194"/>
      <c r="B30" s="189"/>
      <c r="C30" s="190"/>
      <c r="D30" s="191" t="s">
        <v>181</v>
      </c>
      <c r="E30" s="198"/>
      <c r="F30" s="193" t="s">
        <v>119</v>
      </c>
      <c r="G30" s="193" t="s">
        <v>119</v>
      </c>
      <c r="H30" s="193"/>
      <c r="I30" s="193"/>
      <c r="J30" s="193" t="s">
        <v>119</v>
      </c>
      <c r="K30" s="193" t="s">
        <v>119</v>
      </c>
      <c r="L30" s="193" t="s">
        <v>119</v>
      </c>
      <c r="M30" s="193"/>
      <c r="N30" s="171"/>
      <c r="O30" s="171"/>
      <c r="P30" s="171"/>
      <c r="Q30" s="171"/>
      <c r="R30" s="171"/>
      <c r="S30" s="171"/>
    </row>
    <row r="31" spans="1:19" ht="13.5" customHeight="1" x14ac:dyDescent="0.3">
      <c r="A31" s="194"/>
      <c r="B31" s="238"/>
      <c r="C31" s="239"/>
      <c r="D31" s="197" t="s">
        <v>153</v>
      </c>
      <c r="E31" s="240"/>
      <c r="F31" s="224"/>
      <c r="G31" s="224"/>
      <c r="H31" s="224"/>
      <c r="I31" s="224" t="s">
        <v>119</v>
      </c>
      <c r="J31" s="224"/>
      <c r="K31" s="224"/>
      <c r="L31" s="224"/>
      <c r="M31" s="224"/>
      <c r="N31" s="171"/>
      <c r="O31" s="171"/>
      <c r="P31" s="171"/>
      <c r="Q31" s="171"/>
      <c r="R31" s="171"/>
      <c r="S31" s="171"/>
    </row>
    <row r="32" spans="1:19" ht="13.5" customHeight="1" x14ac:dyDescent="0.3">
      <c r="A32" s="194"/>
      <c r="B32" s="238"/>
      <c r="C32" s="239"/>
      <c r="D32" s="197"/>
      <c r="E32" s="240"/>
      <c r="F32" s="224"/>
      <c r="G32" s="224"/>
      <c r="H32" s="224"/>
      <c r="I32" s="224"/>
      <c r="J32" s="224"/>
      <c r="K32" s="224"/>
      <c r="L32" s="224"/>
      <c r="M32" s="224"/>
      <c r="N32" s="171"/>
      <c r="O32" s="171"/>
      <c r="P32" s="171"/>
      <c r="Q32" s="171"/>
      <c r="R32" s="171"/>
      <c r="S32" s="171"/>
    </row>
    <row r="33" spans="1:19" ht="13.5" customHeight="1" x14ac:dyDescent="0.3">
      <c r="A33" s="194"/>
      <c r="B33" s="238"/>
      <c r="C33" s="239"/>
      <c r="D33" s="197"/>
      <c r="E33" s="240"/>
      <c r="F33" s="224"/>
      <c r="G33" s="224"/>
      <c r="H33" s="224"/>
      <c r="I33" s="224"/>
      <c r="J33" s="224"/>
      <c r="K33" s="224"/>
      <c r="L33" s="224"/>
      <c r="M33" s="224"/>
      <c r="N33" s="171"/>
      <c r="O33" s="171"/>
      <c r="P33" s="171"/>
      <c r="Q33" s="171"/>
      <c r="R33" s="171"/>
      <c r="S33" s="171"/>
    </row>
    <row r="34" spans="1:19" ht="13.5" customHeight="1" x14ac:dyDescent="0.3">
      <c r="A34" s="194"/>
      <c r="B34" s="238"/>
      <c r="C34" s="239"/>
      <c r="D34" s="197"/>
      <c r="E34" s="240"/>
      <c r="F34" s="224"/>
      <c r="G34" s="224"/>
      <c r="H34" s="224"/>
      <c r="I34" s="224"/>
      <c r="J34" s="224"/>
      <c r="K34" s="224"/>
      <c r="L34" s="224"/>
      <c r="M34" s="224"/>
      <c r="N34" s="171"/>
      <c r="O34" s="171"/>
      <c r="P34" s="171"/>
      <c r="Q34" s="171"/>
      <c r="R34" s="171"/>
      <c r="S34" s="171"/>
    </row>
    <row r="35" spans="1:19" ht="13.5" customHeight="1" x14ac:dyDescent="0.3">
      <c r="A35" s="194"/>
      <c r="B35" s="202"/>
      <c r="C35" s="203"/>
      <c r="D35" s="204"/>
      <c r="E35" s="205"/>
      <c r="F35" s="206"/>
      <c r="G35" s="206"/>
      <c r="H35" s="206"/>
      <c r="I35" s="206"/>
      <c r="J35" s="206"/>
      <c r="K35" s="206"/>
      <c r="L35" s="206"/>
      <c r="M35" s="206"/>
      <c r="N35" s="171"/>
      <c r="O35" s="171"/>
      <c r="P35" s="171"/>
      <c r="Q35" s="171"/>
      <c r="R35" s="171"/>
      <c r="S35" s="171"/>
    </row>
    <row r="36" spans="1:19" ht="13.5" customHeight="1" x14ac:dyDescent="0.3">
      <c r="A36" s="207" t="s">
        <v>125</v>
      </c>
      <c r="B36" s="208" t="s">
        <v>126</v>
      </c>
      <c r="C36" s="209"/>
      <c r="D36" s="210"/>
      <c r="E36" s="211"/>
      <c r="F36" s="212"/>
      <c r="G36" s="212"/>
      <c r="H36" s="212"/>
      <c r="I36" s="212"/>
      <c r="J36" s="212"/>
      <c r="K36" s="212"/>
      <c r="L36" s="212"/>
      <c r="M36" s="212"/>
      <c r="N36" s="171"/>
      <c r="O36" s="171"/>
      <c r="P36" s="171"/>
      <c r="Q36" s="171"/>
      <c r="R36" s="171"/>
      <c r="S36" s="171"/>
    </row>
    <row r="37" spans="1:19" ht="13.5" customHeight="1" x14ac:dyDescent="0.3">
      <c r="A37" s="213"/>
      <c r="B37" s="214"/>
      <c r="C37" s="215"/>
      <c r="D37" s="216" t="s">
        <v>127</v>
      </c>
      <c r="E37" s="217"/>
      <c r="F37" s="193" t="s">
        <v>119</v>
      </c>
      <c r="G37" s="193"/>
      <c r="H37" s="193"/>
      <c r="I37" s="193"/>
      <c r="J37" s="193"/>
      <c r="K37" s="193"/>
      <c r="L37" s="193"/>
      <c r="M37" s="193" t="s">
        <v>119</v>
      </c>
      <c r="N37" s="171"/>
      <c r="O37" s="171"/>
      <c r="P37" s="171"/>
      <c r="Q37" s="171"/>
      <c r="R37" s="171"/>
      <c r="S37" s="171"/>
    </row>
    <row r="38" spans="1:19" ht="13.5" customHeight="1" x14ac:dyDescent="0.3">
      <c r="A38" s="213"/>
      <c r="B38" s="214"/>
      <c r="C38" s="218"/>
      <c r="D38" s="216" t="s">
        <v>128</v>
      </c>
      <c r="E38" s="219"/>
      <c r="F38" s="193"/>
      <c r="G38" s="193" t="s">
        <v>119</v>
      </c>
      <c r="H38" s="193" t="s">
        <v>119</v>
      </c>
      <c r="I38" s="193" t="s">
        <v>119</v>
      </c>
      <c r="J38" s="193" t="s">
        <v>119</v>
      </c>
      <c r="K38" s="193" t="s">
        <v>119</v>
      </c>
      <c r="L38" s="193" t="s">
        <v>119</v>
      </c>
      <c r="M38" s="193"/>
      <c r="N38" s="171"/>
      <c r="O38" s="171"/>
      <c r="P38" s="171"/>
      <c r="Q38" s="171"/>
      <c r="R38" s="171"/>
      <c r="S38" s="171"/>
    </row>
    <row r="39" spans="1:19" ht="13.5" customHeight="1" x14ac:dyDescent="0.3">
      <c r="A39" s="213"/>
      <c r="B39" s="214" t="s">
        <v>129</v>
      </c>
      <c r="C39" s="218"/>
      <c r="D39" s="216"/>
      <c r="E39" s="219"/>
      <c r="F39" s="193"/>
      <c r="G39" s="193"/>
      <c r="H39" s="193"/>
      <c r="I39" s="193"/>
      <c r="J39" s="193"/>
      <c r="K39" s="193"/>
      <c r="L39" s="193"/>
      <c r="M39" s="193"/>
      <c r="N39" s="171"/>
      <c r="O39" s="171"/>
      <c r="P39" s="171"/>
      <c r="Q39" s="171"/>
      <c r="R39" s="171"/>
      <c r="S39" s="171"/>
    </row>
    <row r="40" spans="1:19" ht="13.5" customHeight="1" x14ac:dyDescent="0.3">
      <c r="A40" s="213"/>
      <c r="B40" s="214"/>
      <c r="C40" s="218"/>
      <c r="D40" s="216"/>
      <c r="E40" s="219"/>
      <c r="F40" s="193"/>
      <c r="G40" s="193"/>
      <c r="H40" s="193"/>
      <c r="I40" s="193"/>
      <c r="J40" s="193"/>
      <c r="K40" s="193"/>
      <c r="L40" s="193"/>
      <c r="M40" s="193"/>
      <c r="N40" s="171"/>
      <c r="O40" s="171"/>
      <c r="P40" s="171"/>
      <c r="Q40" s="171"/>
      <c r="R40" s="171"/>
      <c r="S40" s="171"/>
    </row>
    <row r="41" spans="1:19" ht="13.5" customHeight="1" x14ac:dyDescent="0.3">
      <c r="A41" s="213"/>
      <c r="B41" s="214" t="s">
        <v>130</v>
      </c>
      <c r="C41" s="218"/>
      <c r="D41" s="216"/>
      <c r="E41" s="219"/>
      <c r="F41" s="193"/>
      <c r="G41" s="193"/>
      <c r="H41" s="193"/>
      <c r="I41" s="193"/>
      <c r="J41" s="193"/>
      <c r="K41" s="193"/>
      <c r="L41" s="193"/>
      <c r="M41" s="193"/>
      <c r="N41" s="171"/>
      <c r="O41" s="171"/>
      <c r="P41" s="171"/>
      <c r="Q41" s="171"/>
      <c r="R41" s="171"/>
      <c r="S41" s="171"/>
    </row>
    <row r="42" spans="1:19" ht="28.5" customHeight="1" x14ac:dyDescent="0.3">
      <c r="A42" s="213"/>
      <c r="B42" s="214"/>
      <c r="C42" s="218"/>
      <c r="D42" s="216" t="s">
        <v>182</v>
      </c>
      <c r="E42" s="219"/>
      <c r="F42" s="193" t="s">
        <v>119</v>
      </c>
      <c r="G42" s="193"/>
      <c r="H42" s="193"/>
      <c r="I42" s="193"/>
      <c r="J42" s="193"/>
      <c r="K42" s="193"/>
      <c r="L42" s="193"/>
      <c r="M42" s="193"/>
      <c r="N42" s="171"/>
      <c r="O42" s="171"/>
      <c r="P42" s="171"/>
      <c r="Q42" s="171"/>
      <c r="R42" s="171"/>
      <c r="S42" s="171"/>
    </row>
    <row r="43" spans="1:19" ht="19.5" customHeight="1" x14ac:dyDescent="0.3">
      <c r="A43" s="213"/>
      <c r="B43" s="220"/>
      <c r="C43" s="241"/>
      <c r="D43" s="222" t="s">
        <v>183</v>
      </c>
      <c r="E43" s="242"/>
      <c r="F43" s="224"/>
      <c r="G43" s="224"/>
      <c r="H43" s="224"/>
      <c r="I43" s="224"/>
      <c r="J43" s="224"/>
      <c r="K43" s="224"/>
      <c r="L43" s="224" t="s">
        <v>119</v>
      </c>
      <c r="M43" s="224"/>
      <c r="N43" s="171"/>
      <c r="O43" s="171"/>
      <c r="P43" s="171"/>
      <c r="Q43" s="171"/>
      <c r="R43" s="171"/>
      <c r="S43" s="171"/>
    </row>
    <row r="44" spans="1:19" ht="13.5" customHeight="1" x14ac:dyDescent="0.3">
      <c r="A44" s="213"/>
      <c r="B44" s="220"/>
      <c r="C44" s="241"/>
      <c r="D44" s="222" t="s">
        <v>184</v>
      </c>
      <c r="E44" s="242"/>
      <c r="F44" s="224"/>
      <c r="G44" s="224"/>
      <c r="H44" s="224"/>
      <c r="I44" s="224"/>
      <c r="J44" s="224"/>
      <c r="K44" s="224" t="s">
        <v>119</v>
      </c>
      <c r="L44" s="224"/>
      <c r="M44" s="224"/>
      <c r="N44" s="171"/>
      <c r="O44" s="171"/>
      <c r="P44" s="171"/>
      <c r="Q44" s="171"/>
      <c r="R44" s="171"/>
      <c r="S44" s="171"/>
    </row>
    <row r="45" spans="1:19" ht="13.5" customHeight="1" x14ac:dyDescent="0.3">
      <c r="A45" s="213"/>
      <c r="B45" s="220"/>
      <c r="C45" s="241"/>
      <c r="D45" s="222" t="s">
        <v>185</v>
      </c>
      <c r="E45" s="242"/>
      <c r="F45" s="224"/>
      <c r="G45" s="224"/>
      <c r="H45" s="224"/>
      <c r="I45" s="224" t="s">
        <v>119</v>
      </c>
      <c r="J45" s="224"/>
      <c r="K45" s="224"/>
      <c r="L45" s="224"/>
      <c r="M45" s="224"/>
      <c r="N45" s="171"/>
      <c r="O45" s="171"/>
      <c r="P45" s="171"/>
      <c r="Q45" s="171"/>
      <c r="R45" s="171"/>
      <c r="S45" s="171"/>
    </row>
    <row r="46" spans="1:19" ht="13.5" customHeight="1" x14ac:dyDescent="0.3">
      <c r="A46" s="213"/>
      <c r="B46" s="220"/>
      <c r="C46" s="241"/>
      <c r="D46" s="222" t="s">
        <v>186</v>
      </c>
      <c r="E46" s="242"/>
      <c r="F46" s="224"/>
      <c r="G46" s="224"/>
      <c r="H46" s="224"/>
      <c r="I46" s="224"/>
      <c r="J46" s="224" t="s">
        <v>119</v>
      </c>
      <c r="K46" s="224"/>
      <c r="L46" s="224"/>
      <c r="M46" s="224"/>
      <c r="N46" s="171"/>
      <c r="O46" s="171"/>
      <c r="P46" s="171"/>
      <c r="Q46" s="171"/>
      <c r="R46" s="171"/>
      <c r="S46" s="171"/>
    </row>
    <row r="47" spans="1:19" ht="13.5" customHeight="1" x14ac:dyDescent="0.3">
      <c r="A47" s="213"/>
      <c r="B47" s="220"/>
      <c r="C47" s="241"/>
      <c r="D47" s="222" t="s">
        <v>187</v>
      </c>
      <c r="E47" s="242"/>
      <c r="F47" s="224"/>
      <c r="G47" s="224"/>
      <c r="H47" s="224" t="s">
        <v>119</v>
      </c>
      <c r="I47" s="224"/>
      <c r="J47" s="224"/>
      <c r="K47" s="224"/>
      <c r="L47" s="224"/>
      <c r="M47" s="224"/>
      <c r="N47" s="171"/>
      <c r="O47" s="171"/>
      <c r="P47" s="171"/>
      <c r="Q47" s="171"/>
      <c r="R47" s="171"/>
      <c r="S47" s="171"/>
    </row>
    <row r="48" spans="1:19" ht="13.5" customHeight="1" x14ac:dyDescent="0.3">
      <c r="A48" s="213"/>
      <c r="B48" s="243"/>
      <c r="C48" s="244"/>
      <c r="D48" s="245" t="s">
        <v>188</v>
      </c>
      <c r="E48" s="246"/>
      <c r="F48" s="224"/>
      <c r="G48" s="224" t="s">
        <v>119</v>
      </c>
      <c r="H48" s="224"/>
      <c r="I48" s="224"/>
      <c r="J48" s="224"/>
      <c r="K48" s="224"/>
      <c r="L48" s="224"/>
      <c r="M48" s="224"/>
      <c r="N48" s="171"/>
      <c r="O48" s="171"/>
      <c r="P48" s="171"/>
      <c r="Q48" s="171"/>
      <c r="R48" s="171"/>
      <c r="S48" s="171"/>
    </row>
    <row r="49" spans="1:26" ht="13.5" customHeight="1" x14ac:dyDescent="0.2">
      <c r="A49" s="207" t="s">
        <v>134</v>
      </c>
      <c r="B49" s="324" t="s">
        <v>135</v>
      </c>
      <c r="C49" s="301"/>
      <c r="D49" s="302"/>
      <c r="E49" s="225"/>
      <c r="F49" s="226" t="s">
        <v>95</v>
      </c>
      <c r="G49" s="226" t="s">
        <v>96</v>
      </c>
      <c r="H49" s="226" t="s">
        <v>96</v>
      </c>
      <c r="I49" s="226" t="s">
        <v>66</v>
      </c>
      <c r="J49" s="226" t="s">
        <v>66</v>
      </c>
      <c r="K49" s="226" t="s">
        <v>66</v>
      </c>
      <c r="L49" s="226" t="s">
        <v>66</v>
      </c>
      <c r="M49" s="226" t="s">
        <v>96</v>
      </c>
      <c r="N49" s="171"/>
      <c r="O49" s="171"/>
      <c r="P49" s="171"/>
      <c r="Q49" s="171"/>
      <c r="R49" s="171"/>
      <c r="S49" s="171"/>
    </row>
    <row r="50" spans="1:26" ht="13.5" customHeight="1" x14ac:dyDescent="0.2">
      <c r="A50" s="247"/>
      <c r="B50" s="325" t="s">
        <v>136</v>
      </c>
      <c r="C50" s="251"/>
      <c r="D50" s="252"/>
      <c r="E50" s="227"/>
      <c r="F50" s="228" t="s">
        <v>137</v>
      </c>
      <c r="G50" s="228" t="s">
        <v>137</v>
      </c>
      <c r="H50" s="228" t="s">
        <v>137</v>
      </c>
      <c r="I50" s="228" t="s">
        <v>137</v>
      </c>
      <c r="J50" s="228" t="s">
        <v>137</v>
      </c>
      <c r="K50" s="228" t="s">
        <v>128</v>
      </c>
      <c r="L50" s="228" t="s">
        <v>137</v>
      </c>
      <c r="M50" s="228" t="s">
        <v>137</v>
      </c>
      <c r="N50" s="171"/>
      <c r="O50" s="171"/>
      <c r="P50" s="171"/>
      <c r="Q50" s="171"/>
      <c r="R50" s="171"/>
      <c r="S50" s="171"/>
    </row>
    <row r="51" spans="1:26" ht="52.5" customHeight="1" x14ac:dyDescent="0.15">
      <c r="A51" s="247"/>
      <c r="B51" s="326" t="s">
        <v>138</v>
      </c>
      <c r="C51" s="251"/>
      <c r="D51" s="252"/>
      <c r="E51" s="229"/>
      <c r="F51" s="230">
        <v>45602</v>
      </c>
      <c r="G51" s="230">
        <v>45602</v>
      </c>
      <c r="H51" s="230">
        <v>45602</v>
      </c>
      <c r="I51" s="230">
        <v>45602</v>
      </c>
      <c r="J51" s="230">
        <v>45602</v>
      </c>
      <c r="K51" s="230">
        <v>45602</v>
      </c>
      <c r="L51" s="230">
        <v>45602</v>
      </c>
      <c r="M51" s="230">
        <v>45602</v>
      </c>
      <c r="N51" s="171"/>
      <c r="O51" s="171"/>
      <c r="P51" s="171"/>
      <c r="Q51" s="171"/>
      <c r="R51" s="171"/>
      <c r="S51" s="171"/>
    </row>
    <row r="52" spans="1:26" ht="18.75" customHeight="1" x14ac:dyDescent="0.15">
      <c r="A52" s="248"/>
      <c r="B52" s="327" t="s">
        <v>139</v>
      </c>
      <c r="C52" s="306"/>
      <c r="D52" s="307"/>
      <c r="E52" s="232"/>
      <c r="F52" s="233"/>
      <c r="G52" s="233"/>
      <c r="H52" s="233"/>
      <c r="I52" s="233"/>
      <c r="J52" s="233"/>
      <c r="K52" s="233" t="s">
        <v>192</v>
      </c>
      <c r="L52" s="233"/>
      <c r="M52" s="233"/>
      <c r="N52" s="171"/>
      <c r="O52" s="171"/>
      <c r="P52" s="171"/>
      <c r="Q52" s="171"/>
      <c r="R52" s="171"/>
      <c r="S52" s="171"/>
    </row>
    <row r="53" spans="1:26" ht="13.5" customHeight="1" x14ac:dyDescent="0.15">
      <c r="A53" s="171"/>
      <c r="B53" s="172"/>
      <c r="C53" s="171"/>
      <c r="D53" s="18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spans="1:26" ht="13.5" customHeight="1" x14ac:dyDescent="0.15">
      <c r="A54" s="171"/>
      <c r="B54" s="172"/>
      <c r="C54" s="171"/>
      <c r="D54" s="18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spans="1:26" ht="13.5" customHeight="1" x14ac:dyDescent="0.15">
      <c r="A55" s="171"/>
      <c r="B55" s="172"/>
      <c r="C55" s="171"/>
      <c r="D55" s="18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spans="1:26" ht="13.5" customHeight="1" x14ac:dyDescent="0.15">
      <c r="A56" s="171"/>
      <c r="B56" s="172"/>
      <c r="C56" s="171"/>
      <c r="D56" s="18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spans="1:26" ht="13.5" customHeight="1" x14ac:dyDescent="0.15">
      <c r="A57" s="171"/>
      <c r="B57" s="172"/>
      <c r="C57" s="171"/>
      <c r="D57" s="18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spans="1:26" ht="13.5" customHeight="1" x14ac:dyDescent="0.15">
      <c r="A58" s="171"/>
      <c r="B58" s="172"/>
      <c r="C58" s="171"/>
      <c r="D58" s="18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spans="1:26" ht="13.5" customHeight="1" x14ac:dyDescent="0.15">
      <c r="A59" s="171"/>
      <c r="B59" s="172"/>
      <c r="C59" s="171"/>
      <c r="D59" s="18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spans="1:26" ht="13.5" customHeight="1" x14ac:dyDescent="0.15">
      <c r="A60" s="171"/>
      <c r="B60" s="172"/>
      <c r="C60" s="171"/>
      <c r="D60" s="18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spans="1:26" ht="13.5" customHeight="1" x14ac:dyDescent="0.15">
      <c r="A61" s="171"/>
      <c r="B61" s="172"/>
      <c r="C61" s="171"/>
      <c r="D61" s="18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3.5" customHeight="1" x14ac:dyDescent="0.15">
      <c r="A62" s="171"/>
      <c r="B62" s="172"/>
      <c r="C62" s="171"/>
      <c r="D62" s="18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:26" ht="13.5" customHeight="1" x14ac:dyDescent="0.15">
      <c r="A63" s="171"/>
      <c r="B63" s="172"/>
      <c r="C63" s="171"/>
      <c r="D63" s="18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:26" ht="13.5" customHeight="1" x14ac:dyDescent="0.15">
      <c r="A64" s="171"/>
      <c r="B64" s="172"/>
      <c r="C64" s="171"/>
      <c r="D64" s="18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:26" ht="13.5" customHeight="1" x14ac:dyDescent="0.15">
      <c r="A65" s="171"/>
      <c r="B65" s="172"/>
      <c r="C65" s="171"/>
      <c r="D65" s="18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:26" ht="13.5" customHeight="1" x14ac:dyDescent="0.15">
      <c r="A66" s="171"/>
      <c r="B66" s="172"/>
      <c r="C66" s="171"/>
      <c r="D66" s="18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:26" ht="13.5" customHeight="1" x14ac:dyDescent="0.15">
      <c r="A67" s="171"/>
      <c r="B67" s="172"/>
      <c r="C67" s="171"/>
      <c r="D67" s="18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:26" ht="13.5" customHeight="1" x14ac:dyDescent="0.15">
      <c r="A68" s="171"/>
      <c r="B68" s="172"/>
      <c r="C68" s="171"/>
      <c r="D68" s="18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:26" ht="13.5" customHeight="1" x14ac:dyDescent="0.15">
      <c r="A69" s="171"/>
      <c r="B69" s="172"/>
      <c r="C69" s="171"/>
      <c r="D69" s="18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:26" ht="13.5" customHeight="1" x14ac:dyDescent="0.15">
      <c r="A70" s="171"/>
      <c r="B70" s="172"/>
      <c r="C70" s="171"/>
      <c r="D70" s="18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:26" ht="13.5" customHeight="1" x14ac:dyDescent="0.15">
      <c r="A71" s="171"/>
      <c r="B71" s="172"/>
      <c r="C71" s="171"/>
      <c r="D71" s="18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:26" ht="13.5" customHeight="1" x14ac:dyDescent="0.15">
      <c r="A72" s="171"/>
      <c r="B72" s="172"/>
      <c r="C72" s="171"/>
      <c r="D72" s="18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:26" ht="13.5" customHeight="1" x14ac:dyDescent="0.15">
      <c r="A73" s="171"/>
      <c r="B73" s="172"/>
      <c r="C73" s="171"/>
      <c r="D73" s="18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:26" ht="13.5" customHeight="1" x14ac:dyDescent="0.15">
      <c r="A74" s="171"/>
      <c r="B74" s="172"/>
      <c r="C74" s="171"/>
      <c r="D74" s="18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:26" ht="13.5" customHeight="1" x14ac:dyDescent="0.15">
      <c r="A75" s="171"/>
      <c r="B75" s="172"/>
      <c r="C75" s="171"/>
      <c r="D75" s="18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:26" ht="13.5" customHeight="1" x14ac:dyDescent="0.15">
      <c r="A76" s="171"/>
      <c r="B76" s="172"/>
      <c r="C76" s="171"/>
      <c r="D76" s="18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:26" ht="13.5" customHeight="1" x14ac:dyDescent="0.15">
      <c r="A77" s="171"/>
      <c r="B77" s="172"/>
      <c r="C77" s="171"/>
      <c r="D77" s="18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:26" ht="13.5" customHeight="1" x14ac:dyDescent="0.15">
      <c r="A78" s="171"/>
      <c r="B78" s="172"/>
      <c r="C78" s="171"/>
      <c r="D78" s="18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:26" ht="13.5" customHeight="1" x14ac:dyDescent="0.15">
      <c r="A79" s="171"/>
      <c r="B79" s="172"/>
      <c r="C79" s="171"/>
      <c r="D79" s="18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:26" ht="13.5" customHeight="1" x14ac:dyDescent="0.15">
      <c r="A80" s="171"/>
      <c r="B80" s="172"/>
      <c r="C80" s="171"/>
      <c r="D80" s="18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:26" ht="13.5" customHeight="1" x14ac:dyDescent="0.15">
      <c r="A81" s="171"/>
      <c r="B81" s="172"/>
      <c r="C81" s="171"/>
      <c r="D81" s="18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:26" ht="13.5" customHeight="1" x14ac:dyDescent="0.15">
      <c r="A82" s="171"/>
      <c r="B82" s="172"/>
      <c r="C82" s="171"/>
      <c r="D82" s="18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:26" ht="13.5" customHeight="1" x14ac:dyDescent="0.15">
      <c r="A83" s="171"/>
      <c r="B83" s="172"/>
      <c r="C83" s="171"/>
      <c r="D83" s="18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:26" ht="13.5" customHeight="1" x14ac:dyDescent="0.15">
      <c r="A84" s="171"/>
      <c r="B84" s="172"/>
      <c r="C84" s="171"/>
      <c r="D84" s="18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:26" ht="13.5" customHeight="1" x14ac:dyDescent="0.15">
      <c r="A85" s="171"/>
      <c r="B85" s="172"/>
      <c r="C85" s="171"/>
      <c r="D85" s="18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:26" ht="13.5" customHeight="1" x14ac:dyDescent="0.15">
      <c r="A86" s="171"/>
      <c r="B86" s="172"/>
      <c r="C86" s="171"/>
      <c r="D86" s="18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:26" ht="13.5" customHeight="1" x14ac:dyDescent="0.15">
      <c r="A87" s="171"/>
      <c r="B87" s="172"/>
      <c r="C87" s="171"/>
      <c r="D87" s="18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:26" ht="13.5" customHeight="1" x14ac:dyDescent="0.15">
      <c r="A88" s="171"/>
      <c r="B88" s="172"/>
      <c r="C88" s="171"/>
      <c r="D88" s="18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:26" ht="13.5" customHeight="1" x14ac:dyDescent="0.15">
      <c r="A89" s="171"/>
      <c r="B89" s="172"/>
      <c r="C89" s="171"/>
      <c r="D89" s="18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:26" ht="13.5" customHeight="1" x14ac:dyDescent="0.15">
      <c r="A90" s="171"/>
      <c r="B90" s="172"/>
      <c r="C90" s="171"/>
      <c r="D90" s="18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:26" ht="13.5" customHeight="1" x14ac:dyDescent="0.15">
      <c r="A91" s="171"/>
      <c r="B91" s="172"/>
      <c r="C91" s="171"/>
      <c r="D91" s="18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:26" ht="13.5" customHeight="1" x14ac:dyDescent="0.15">
      <c r="A92" s="171"/>
      <c r="B92" s="172"/>
      <c r="C92" s="171"/>
      <c r="D92" s="18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:26" ht="13.5" customHeight="1" x14ac:dyDescent="0.15">
      <c r="A93" s="171"/>
      <c r="B93" s="172"/>
      <c r="C93" s="171"/>
      <c r="D93" s="18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:26" ht="13.5" customHeight="1" x14ac:dyDescent="0.15">
      <c r="A94" s="171"/>
      <c r="B94" s="172"/>
      <c r="C94" s="171"/>
      <c r="D94" s="18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:26" ht="13.5" customHeight="1" x14ac:dyDescent="0.15">
      <c r="A95" s="171"/>
      <c r="B95" s="172"/>
      <c r="C95" s="171"/>
      <c r="D95" s="18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:26" ht="13.5" customHeight="1" x14ac:dyDescent="0.15">
      <c r="A96" s="171"/>
      <c r="B96" s="172"/>
      <c r="C96" s="171"/>
      <c r="D96" s="18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:26" ht="13.5" customHeight="1" x14ac:dyDescent="0.15">
      <c r="A97" s="171"/>
      <c r="B97" s="172"/>
      <c r="C97" s="171"/>
      <c r="D97" s="18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:26" ht="13.5" customHeight="1" x14ac:dyDescent="0.15">
      <c r="A98" s="171"/>
      <c r="B98" s="172"/>
      <c r="C98" s="171"/>
      <c r="D98" s="18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:26" ht="13.5" customHeight="1" x14ac:dyDescent="0.15">
      <c r="A99" s="171"/>
      <c r="B99" s="172"/>
      <c r="C99" s="171"/>
      <c r="D99" s="18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spans="1:26" ht="13.5" customHeight="1" x14ac:dyDescent="0.15">
      <c r="A100" s="171"/>
      <c r="B100" s="172"/>
      <c r="C100" s="171"/>
      <c r="D100" s="18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spans="1:26" ht="13.5" customHeight="1" x14ac:dyDescent="0.15">
      <c r="A101" s="171"/>
      <c r="B101" s="172"/>
      <c r="C101" s="171"/>
      <c r="D101" s="18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spans="1:26" ht="13.5" customHeight="1" x14ac:dyDescent="0.15">
      <c r="A102" s="171"/>
      <c r="B102" s="172"/>
      <c r="C102" s="171"/>
      <c r="D102" s="18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spans="1:26" ht="13.5" customHeight="1" x14ac:dyDescent="0.15">
      <c r="A103" s="171"/>
      <c r="B103" s="172"/>
      <c r="C103" s="171"/>
      <c r="D103" s="18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spans="1:26" ht="13.5" customHeight="1" x14ac:dyDescent="0.15">
      <c r="A104" s="171"/>
      <c r="B104" s="172"/>
      <c r="C104" s="171"/>
      <c r="D104" s="18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spans="1:26" ht="13.5" customHeight="1" x14ac:dyDescent="0.15">
      <c r="A105" s="171"/>
      <c r="B105" s="172"/>
      <c r="C105" s="171"/>
      <c r="D105" s="18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spans="1:26" ht="13.5" customHeight="1" x14ac:dyDescent="0.15">
      <c r="A106" s="171"/>
      <c r="B106" s="172"/>
      <c r="C106" s="171"/>
      <c r="D106" s="18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spans="1:26" ht="13.5" customHeight="1" x14ac:dyDescent="0.15">
      <c r="A107" s="171"/>
      <c r="B107" s="172"/>
      <c r="C107" s="171"/>
      <c r="D107" s="18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spans="1:26" ht="13.5" customHeight="1" x14ac:dyDescent="0.15">
      <c r="A108" s="171"/>
      <c r="B108" s="172"/>
      <c r="C108" s="171"/>
      <c r="D108" s="18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spans="1:26" ht="13.5" customHeight="1" x14ac:dyDescent="0.15">
      <c r="A109" s="171"/>
      <c r="B109" s="172"/>
      <c r="C109" s="171"/>
      <c r="D109" s="18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spans="1:26" ht="13.5" customHeight="1" x14ac:dyDescent="0.15">
      <c r="A110" s="171"/>
      <c r="B110" s="172"/>
      <c r="C110" s="171"/>
      <c r="D110" s="18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spans="1:26" ht="13.5" customHeight="1" x14ac:dyDescent="0.15">
      <c r="A111" s="171"/>
      <c r="B111" s="172"/>
      <c r="C111" s="171"/>
      <c r="D111" s="18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spans="1:26" ht="13.5" customHeight="1" x14ac:dyDescent="0.15">
      <c r="A112" s="171"/>
      <c r="B112" s="172"/>
      <c r="C112" s="171"/>
      <c r="D112" s="18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spans="1:26" ht="13.5" customHeight="1" x14ac:dyDescent="0.15">
      <c r="A113" s="171"/>
      <c r="B113" s="172"/>
      <c r="C113" s="171"/>
      <c r="D113" s="18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spans="1:26" ht="13.5" customHeight="1" x14ac:dyDescent="0.15">
      <c r="A114" s="171"/>
      <c r="B114" s="172"/>
      <c r="C114" s="171"/>
      <c r="D114" s="18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spans="1:26" ht="13.5" customHeight="1" x14ac:dyDescent="0.15">
      <c r="A115" s="171"/>
      <c r="B115" s="172"/>
      <c r="C115" s="171"/>
      <c r="D115" s="18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spans="1:26" ht="13.5" customHeight="1" x14ac:dyDescent="0.15">
      <c r="A116" s="171"/>
      <c r="B116" s="172"/>
      <c r="C116" s="171"/>
      <c r="D116" s="18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spans="1:26" ht="13.5" customHeight="1" x14ac:dyDescent="0.15">
      <c r="A117" s="171"/>
      <c r="B117" s="172"/>
      <c r="C117" s="171"/>
      <c r="D117" s="18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spans="1:26" ht="13.5" customHeight="1" x14ac:dyDescent="0.15">
      <c r="A118" s="171"/>
      <c r="B118" s="172"/>
      <c r="C118" s="171"/>
      <c r="D118" s="18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spans="1:26" ht="13.5" customHeight="1" x14ac:dyDescent="0.15">
      <c r="A119" s="171"/>
      <c r="B119" s="172"/>
      <c r="C119" s="171"/>
      <c r="D119" s="18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spans="1:26" ht="13.5" customHeight="1" x14ac:dyDescent="0.15">
      <c r="A120" s="171"/>
      <c r="B120" s="172"/>
      <c r="C120" s="171"/>
      <c r="D120" s="18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:26" ht="13.5" customHeight="1" x14ac:dyDescent="0.15">
      <c r="A121" s="171"/>
      <c r="B121" s="172"/>
      <c r="C121" s="171"/>
      <c r="D121" s="18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:26" ht="13.5" customHeight="1" x14ac:dyDescent="0.15">
      <c r="A122" s="171"/>
      <c r="B122" s="172"/>
      <c r="C122" s="171"/>
      <c r="D122" s="18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:26" ht="13.5" customHeight="1" x14ac:dyDescent="0.15">
      <c r="A123" s="171"/>
      <c r="B123" s="172"/>
      <c r="C123" s="171"/>
      <c r="D123" s="18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:26" ht="13.5" customHeight="1" x14ac:dyDescent="0.15">
      <c r="A124" s="171"/>
      <c r="B124" s="172"/>
      <c r="C124" s="171"/>
      <c r="D124" s="18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:26" ht="13.5" customHeight="1" x14ac:dyDescent="0.15">
      <c r="A125" s="171"/>
      <c r="B125" s="172"/>
      <c r="C125" s="171"/>
      <c r="D125" s="18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:26" ht="13.5" customHeight="1" x14ac:dyDescent="0.15">
      <c r="A126" s="171"/>
      <c r="B126" s="172"/>
      <c r="C126" s="171"/>
      <c r="D126" s="18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:26" ht="13.5" customHeight="1" x14ac:dyDescent="0.15">
      <c r="A127" s="171"/>
      <c r="B127" s="172"/>
      <c r="C127" s="171"/>
      <c r="D127" s="18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:26" ht="13.5" customHeight="1" x14ac:dyDescent="0.15">
      <c r="A128" s="171"/>
      <c r="B128" s="172"/>
      <c r="C128" s="171"/>
      <c r="D128" s="18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:26" ht="13.5" customHeight="1" x14ac:dyDescent="0.15">
      <c r="A129" s="171"/>
      <c r="B129" s="172"/>
      <c r="C129" s="171"/>
      <c r="D129" s="18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:26" ht="13.5" customHeight="1" x14ac:dyDescent="0.15">
      <c r="A130" s="171"/>
      <c r="B130" s="172"/>
      <c r="C130" s="171"/>
      <c r="D130" s="18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:26" ht="13.5" customHeight="1" x14ac:dyDescent="0.15">
      <c r="A131" s="171"/>
      <c r="B131" s="172"/>
      <c r="C131" s="171"/>
      <c r="D131" s="18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:26" ht="13.5" customHeight="1" x14ac:dyDescent="0.15">
      <c r="A132" s="171"/>
      <c r="B132" s="172"/>
      <c r="C132" s="171"/>
      <c r="D132" s="18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:26" ht="13.5" customHeight="1" x14ac:dyDescent="0.15">
      <c r="A133" s="171"/>
      <c r="B133" s="172"/>
      <c r="C133" s="171"/>
      <c r="D133" s="18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:26" ht="13.5" customHeight="1" x14ac:dyDescent="0.15">
      <c r="A134" s="171"/>
      <c r="B134" s="172"/>
      <c r="C134" s="171"/>
      <c r="D134" s="18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:26" ht="13.5" customHeight="1" x14ac:dyDescent="0.15">
      <c r="A135" s="171"/>
      <c r="B135" s="172"/>
      <c r="C135" s="171"/>
      <c r="D135" s="18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:26" ht="13.5" customHeight="1" x14ac:dyDescent="0.15">
      <c r="A136" s="171"/>
      <c r="B136" s="172"/>
      <c r="C136" s="171"/>
      <c r="D136" s="18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spans="1:26" ht="13.5" customHeight="1" x14ac:dyDescent="0.15">
      <c r="A137" s="171"/>
      <c r="B137" s="172"/>
      <c r="C137" s="171"/>
      <c r="D137" s="18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spans="1:26" ht="13.5" customHeight="1" x14ac:dyDescent="0.15">
      <c r="A138" s="171"/>
      <c r="B138" s="172"/>
      <c r="C138" s="171"/>
      <c r="D138" s="18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spans="1:26" ht="13.5" customHeight="1" x14ac:dyDescent="0.15">
      <c r="A139" s="171"/>
      <c r="B139" s="172"/>
      <c r="C139" s="171"/>
      <c r="D139" s="18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spans="1:26" ht="13.5" customHeight="1" x14ac:dyDescent="0.15">
      <c r="A140" s="171"/>
      <c r="B140" s="172"/>
      <c r="C140" s="171"/>
      <c r="D140" s="18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spans="1:26" ht="13.5" customHeight="1" x14ac:dyDescent="0.15">
      <c r="A141" s="171"/>
      <c r="B141" s="172"/>
      <c r="C141" s="171"/>
      <c r="D141" s="18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spans="1:26" ht="13.5" customHeight="1" x14ac:dyDescent="0.15">
      <c r="A142" s="171"/>
      <c r="B142" s="172"/>
      <c r="C142" s="171"/>
      <c r="D142" s="18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spans="1:26" ht="13.5" customHeight="1" x14ac:dyDescent="0.15">
      <c r="A143" s="171"/>
      <c r="B143" s="172"/>
      <c r="C143" s="171"/>
      <c r="D143" s="18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spans="1:26" ht="13.5" customHeight="1" x14ac:dyDescent="0.15">
      <c r="A144" s="171"/>
      <c r="B144" s="172"/>
      <c r="C144" s="171"/>
      <c r="D144" s="18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spans="1:26" ht="13.5" customHeight="1" x14ac:dyDescent="0.15">
      <c r="A145" s="171"/>
      <c r="B145" s="172"/>
      <c r="C145" s="171"/>
      <c r="D145" s="18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spans="1:26" ht="13.5" customHeight="1" x14ac:dyDescent="0.15">
      <c r="A146" s="171"/>
      <c r="B146" s="172"/>
      <c r="C146" s="171"/>
      <c r="D146" s="18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spans="1:26" ht="13.5" customHeight="1" x14ac:dyDescent="0.15">
      <c r="A147" s="171"/>
      <c r="B147" s="172"/>
      <c r="C147" s="171"/>
      <c r="D147" s="18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spans="1:26" ht="13.5" customHeight="1" x14ac:dyDescent="0.15">
      <c r="A148" s="171"/>
      <c r="B148" s="172"/>
      <c r="C148" s="171"/>
      <c r="D148" s="18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spans="1:26" ht="13.5" customHeight="1" x14ac:dyDescent="0.15">
      <c r="A149" s="171"/>
      <c r="B149" s="172"/>
      <c r="C149" s="171"/>
      <c r="D149" s="18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spans="1:26" ht="13.5" customHeight="1" x14ac:dyDescent="0.15">
      <c r="A150" s="171"/>
      <c r="B150" s="172"/>
      <c r="C150" s="171"/>
      <c r="D150" s="18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spans="1:26" ht="13.5" customHeight="1" x14ac:dyDescent="0.15">
      <c r="A151" s="171"/>
      <c r="B151" s="172"/>
      <c r="C151" s="171"/>
      <c r="D151" s="18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spans="1:26" ht="13.5" customHeight="1" x14ac:dyDescent="0.15">
      <c r="A152" s="171"/>
      <c r="B152" s="172"/>
      <c r="C152" s="171"/>
      <c r="D152" s="18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spans="1:26" ht="13.5" customHeight="1" x14ac:dyDescent="0.15">
      <c r="A153" s="171"/>
      <c r="B153" s="172"/>
      <c r="C153" s="171"/>
      <c r="D153" s="18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spans="1:26" ht="13.5" customHeight="1" x14ac:dyDescent="0.15">
      <c r="A154" s="171"/>
      <c r="B154" s="172"/>
      <c r="C154" s="171"/>
      <c r="D154" s="18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spans="1:26" ht="13.5" customHeight="1" x14ac:dyDescent="0.15">
      <c r="A155" s="171"/>
      <c r="B155" s="172"/>
      <c r="C155" s="171"/>
      <c r="D155" s="18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spans="1:26" ht="13.5" customHeight="1" x14ac:dyDescent="0.15">
      <c r="A156" s="171"/>
      <c r="B156" s="172"/>
      <c r="C156" s="171"/>
      <c r="D156" s="18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spans="1:26" ht="13.5" customHeight="1" x14ac:dyDescent="0.15">
      <c r="A157" s="171"/>
      <c r="B157" s="172"/>
      <c r="C157" s="171"/>
      <c r="D157" s="18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spans="1:26" ht="13.5" customHeight="1" x14ac:dyDescent="0.15">
      <c r="A158" s="171"/>
      <c r="B158" s="172"/>
      <c r="C158" s="171"/>
      <c r="D158" s="18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spans="1:26" ht="13.5" customHeight="1" x14ac:dyDescent="0.15">
      <c r="A159" s="171"/>
      <c r="B159" s="172"/>
      <c r="C159" s="171"/>
      <c r="D159" s="18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spans="1:26" ht="13.5" customHeight="1" x14ac:dyDescent="0.15">
      <c r="A160" s="171"/>
      <c r="B160" s="172"/>
      <c r="C160" s="171"/>
      <c r="D160" s="18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spans="1:26" ht="13.5" customHeight="1" x14ac:dyDescent="0.15">
      <c r="A161" s="171"/>
      <c r="B161" s="172"/>
      <c r="C161" s="171"/>
      <c r="D161" s="18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spans="1:26" ht="13.5" customHeight="1" x14ac:dyDescent="0.15">
      <c r="A162" s="171"/>
      <c r="B162" s="172"/>
      <c r="C162" s="171"/>
      <c r="D162" s="18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spans="1:26" ht="13.5" customHeight="1" x14ac:dyDescent="0.15">
      <c r="A163" s="171"/>
      <c r="B163" s="172"/>
      <c r="C163" s="171"/>
      <c r="D163" s="18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spans="1:26" ht="13.5" customHeight="1" x14ac:dyDescent="0.15">
      <c r="A164" s="171"/>
      <c r="B164" s="172"/>
      <c r="C164" s="171"/>
      <c r="D164" s="18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spans="1:26" ht="13.5" customHeight="1" x14ac:dyDescent="0.15">
      <c r="A165" s="171"/>
      <c r="B165" s="172"/>
      <c r="C165" s="171"/>
      <c r="D165" s="18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:26" ht="13.5" customHeight="1" x14ac:dyDescent="0.15">
      <c r="A166" s="171"/>
      <c r="B166" s="172"/>
      <c r="C166" s="171"/>
      <c r="D166" s="18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:26" ht="13.5" customHeight="1" x14ac:dyDescent="0.15">
      <c r="A167" s="171"/>
      <c r="B167" s="172"/>
      <c r="C167" s="171"/>
      <c r="D167" s="18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:26" ht="13.5" customHeight="1" x14ac:dyDescent="0.15">
      <c r="A168" s="171"/>
      <c r="B168" s="172"/>
      <c r="C168" s="171"/>
      <c r="D168" s="18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:26" ht="13.5" customHeight="1" x14ac:dyDescent="0.15">
      <c r="A169" s="171"/>
      <c r="B169" s="172"/>
      <c r="C169" s="171"/>
      <c r="D169" s="18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:26" ht="13.5" customHeight="1" x14ac:dyDescent="0.15">
      <c r="A170" s="171"/>
      <c r="B170" s="172"/>
      <c r="C170" s="171"/>
      <c r="D170" s="18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:26" ht="13.5" customHeight="1" x14ac:dyDescent="0.15">
      <c r="A171" s="171"/>
      <c r="B171" s="172"/>
      <c r="C171" s="171"/>
      <c r="D171" s="18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:26" ht="13.5" customHeight="1" x14ac:dyDescent="0.15">
      <c r="A172" s="171"/>
      <c r="B172" s="172"/>
      <c r="C172" s="171"/>
      <c r="D172" s="18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:26" ht="13.5" customHeight="1" x14ac:dyDescent="0.15">
      <c r="A173" s="171"/>
      <c r="B173" s="172"/>
      <c r="C173" s="171"/>
      <c r="D173" s="18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:26" ht="13.5" customHeight="1" x14ac:dyDescent="0.15">
      <c r="A174" s="171"/>
      <c r="B174" s="172"/>
      <c r="C174" s="171"/>
      <c r="D174" s="18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:26" ht="13.5" customHeight="1" x14ac:dyDescent="0.15">
      <c r="A175" s="171"/>
      <c r="B175" s="172"/>
      <c r="C175" s="171"/>
      <c r="D175" s="18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:26" ht="13.5" customHeight="1" x14ac:dyDescent="0.15">
      <c r="A176" s="171"/>
      <c r="B176" s="172"/>
      <c r="C176" s="171"/>
      <c r="D176" s="18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:26" ht="13.5" customHeight="1" x14ac:dyDescent="0.15">
      <c r="A177" s="171"/>
      <c r="B177" s="172"/>
      <c r="C177" s="171"/>
      <c r="D177" s="18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:26" ht="13.5" customHeight="1" x14ac:dyDescent="0.15">
      <c r="A178" s="171"/>
      <c r="B178" s="172"/>
      <c r="C178" s="171"/>
      <c r="D178" s="18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:26" ht="13.5" customHeight="1" x14ac:dyDescent="0.15">
      <c r="A179" s="171"/>
      <c r="B179" s="172"/>
      <c r="C179" s="171"/>
      <c r="D179" s="18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:26" ht="13.5" customHeight="1" x14ac:dyDescent="0.15">
      <c r="A180" s="171"/>
      <c r="B180" s="172"/>
      <c r="C180" s="171"/>
      <c r="D180" s="18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:26" ht="13.5" customHeight="1" x14ac:dyDescent="0.15">
      <c r="A181" s="171"/>
      <c r="B181" s="172"/>
      <c r="C181" s="171"/>
      <c r="D181" s="18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:26" ht="13.5" customHeight="1" x14ac:dyDescent="0.15">
      <c r="A182" s="171"/>
      <c r="B182" s="172"/>
      <c r="C182" s="171"/>
      <c r="D182" s="18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:26" ht="13.5" customHeight="1" x14ac:dyDescent="0.15">
      <c r="A183" s="171"/>
      <c r="B183" s="172"/>
      <c r="C183" s="171"/>
      <c r="D183" s="18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:26" ht="13.5" customHeight="1" x14ac:dyDescent="0.15">
      <c r="A184" s="171"/>
      <c r="B184" s="172"/>
      <c r="C184" s="171"/>
      <c r="D184" s="18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:26" ht="13.5" customHeight="1" x14ac:dyDescent="0.15">
      <c r="A185" s="171"/>
      <c r="B185" s="172"/>
      <c r="C185" s="171"/>
      <c r="D185" s="18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:26" ht="13.5" customHeight="1" x14ac:dyDescent="0.15">
      <c r="A186" s="171"/>
      <c r="B186" s="172"/>
      <c r="C186" s="171"/>
      <c r="D186" s="18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:26" ht="13.5" customHeight="1" x14ac:dyDescent="0.15">
      <c r="A187" s="171"/>
      <c r="B187" s="172"/>
      <c r="C187" s="171"/>
      <c r="D187" s="18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:26" ht="13.5" customHeight="1" x14ac:dyDescent="0.15">
      <c r="A188" s="171"/>
      <c r="B188" s="172"/>
      <c r="C188" s="171"/>
      <c r="D188" s="18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:26" ht="13.5" customHeight="1" x14ac:dyDescent="0.15">
      <c r="A189" s="171"/>
      <c r="B189" s="172"/>
      <c r="C189" s="171"/>
      <c r="D189" s="18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:26" ht="13.5" customHeight="1" x14ac:dyDescent="0.15">
      <c r="A190" s="171"/>
      <c r="B190" s="172"/>
      <c r="C190" s="171"/>
      <c r="D190" s="18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:26" ht="13.5" customHeight="1" x14ac:dyDescent="0.15">
      <c r="A191" s="171"/>
      <c r="B191" s="172"/>
      <c r="C191" s="171"/>
      <c r="D191" s="18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:26" ht="13.5" customHeight="1" x14ac:dyDescent="0.15">
      <c r="A192" s="171"/>
      <c r="B192" s="172"/>
      <c r="C192" s="171"/>
      <c r="D192" s="18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:26" ht="13.5" customHeight="1" x14ac:dyDescent="0.15">
      <c r="A193" s="171"/>
      <c r="B193" s="172"/>
      <c r="C193" s="171"/>
      <c r="D193" s="18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:26" ht="13.5" customHeight="1" x14ac:dyDescent="0.15">
      <c r="A194" s="171"/>
      <c r="B194" s="172"/>
      <c r="C194" s="171"/>
      <c r="D194" s="18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:26" ht="13.5" customHeight="1" x14ac:dyDescent="0.15">
      <c r="A195" s="171"/>
      <c r="B195" s="172"/>
      <c r="C195" s="171"/>
      <c r="D195" s="18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:26" ht="13.5" customHeight="1" x14ac:dyDescent="0.15">
      <c r="A196" s="171"/>
      <c r="B196" s="172"/>
      <c r="C196" s="171"/>
      <c r="D196" s="18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:26" ht="13.5" customHeight="1" x14ac:dyDescent="0.15">
      <c r="A197" s="171"/>
      <c r="B197" s="172"/>
      <c r="C197" s="171"/>
      <c r="D197" s="18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:26" ht="13.5" customHeight="1" x14ac:dyDescent="0.15">
      <c r="A198" s="171"/>
      <c r="B198" s="172"/>
      <c r="C198" s="171"/>
      <c r="D198" s="18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:26" ht="13.5" customHeight="1" x14ac:dyDescent="0.15">
      <c r="A199" s="171"/>
      <c r="B199" s="172"/>
      <c r="C199" s="171"/>
      <c r="D199" s="18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:26" ht="13.5" customHeight="1" x14ac:dyDescent="0.15">
      <c r="A200" s="171"/>
      <c r="B200" s="172"/>
      <c r="C200" s="171"/>
      <c r="D200" s="18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:26" ht="13.5" customHeight="1" x14ac:dyDescent="0.15">
      <c r="A201" s="171"/>
      <c r="B201" s="172"/>
      <c r="C201" s="171"/>
      <c r="D201" s="18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:26" ht="13.5" customHeight="1" x14ac:dyDescent="0.15">
      <c r="A202" s="171"/>
      <c r="B202" s="172"/>
      <c r="C202" s="171"/>
      <c r="D202" s="18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:26" ht="13.5" customHeight="1" x14ac:dyDescent="0.15">
      <c r="A203" s="171"/>
      <c r="B203" s="172"/>
      <c r="C203" s="171"/>
      <c r="D203" s="18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:26" ht="13.5" customHeight="1" x14ac:dyDescent="0.15">
      <c r="A204" s="171"/>
      <c r="B204" s="172"/>
      <c r="C204" s="171"/>
      <c r="D204" s="18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:26" ht="13.5" customHeight="1" x14ac:dyDescent="0.15">
      <c r="A205" s="171"/>
      <c r="B205" s="172"/>
      <c r="C205" s="171"/>
      <c r="D205" s="18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:26" ht="13.5" customHeight="1" x14ac:dyDescent="0.15">
      <c r="A206" s="171"/>
      <c r="B206" s="172"/>
      <c r="C206" s="171"/>
      <c r="D206" s="18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:26" ht="13.5" customHeight="1" x14ac:dyDescent="0.15">
      <c r="A207" s="171"/>
      <c r="B207" s="172"/>
      <c r="C207" s="171"/>
      <c r="D207" s="18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:26" ht="13.5" customHeight="1" x14ac:dyDescent="0.15">
      <c r="A208" s="171"/>
      <c r="B208" s="172"/>
      <c r="C208" s="171"/>
      <c r="D208" s="18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:26" ht="13.5" customHeight="1" x14ac:dyDescent="0.15">
      <c r="A209" s="171"/>
      <c r="B209" s="172"/>
      <c r="C209" s="171"/>
      <c r="D209" s="18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:26" ht="13.5" customHeight="1" x14ac:dyDescent="0.15">
      <c r="A210" s="171"/>
      <c r="B210" s="172"/>
      <c r="C210" s="171"/>
      <c r="D210" s="18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:26" ht="13.5" customHeight="1" x14ac:dyDescent="0.15">
      <c r="A211" s="171"/>
      <c r="B211" s="172"/>
      <c r="C211" s="171"/>
      <c r="D211" s="18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:26" ht="13.5" customHeight="1" x14ac:dyDescent="0.15">
      <c r="A212" s="171"/>
      <c r="B212" s="172"/>
      <c r="C212" s="171"/>
      <c r="D212" s="18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:26" ht="13.5" customHeight="1" x14ac:dyDescent="0.15">
      <c r="A213" s="171"/>
      <c r="B213" s="172"/>
      <c r="C213" s="171"/>
      <c r="D213" s="18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:26" ht="13.5" customHeight="1" x14ac:dyDescent="0.15">
      <c r="A214" s="171"/>
      <c r="B214" s="172"/>
      <c r="C214" s="171"/>
      <c r="D214" s="18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:26" ht="13.5" customHeight="1" x14ac:dyDescent="0.15">
      <c r="A215" s="171"/>
      <c r="B215" s="172"/>
      <c r="C215" s="171"/>
      <c r="D215" s="18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:26" ht="13.5" customHeight="1" x14ac:dyDescent="0.15">
      <c r="A216" s="171"/>
      <c r="B216" s="172"/>
      <c r="C216" s="171"/>
      <c r="D216" s="18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:26" ht="13.5" customHeight="1" x14ac:dyDescent="0.15">
      <c r="A217" s="171"/>
      <c r="B217" s="172"/>
      <c r="C217" s="171"/>
      <c r="D217" s="18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:26" ht="13.5" customHeight="1" x14ac:dyDescent="0.15">
      <c r="A218" s="171"/>
      <c r="B218" s="172"/>
      <c r="C218" s="171"/>
      <c r="D218" s="18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:26" ht="13.5" customHeight="1" x14ac:dyDescent="0.15">
      <c r="A219" s="171"/>
      <c r="B219" s="172"/>
      <c r="C219" s="171"/>
      <c r="D219" s="18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:26" ht="13.5" customHeight="1" x14ac:dyDescent="0.15">
      <c r="A220" s="171"/>
      <c r="B220" s="172"/>
      <c r="C220" s="171"/>
      <c r="D220" s="18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:26" ht="13.5" customHeight="1" x14ac:dyDescent="0.15">
      <c r="A221" s="171"/>
      <c r="B221" s="172"/>
      <c r="C221" s="171"/>
      <c r="D221" s="18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:26" ht="13.5" customHeight="1" x14ac:dyDescent="0.15">
      <c r="A222" s="171"/>
      <c r="B222" s="172"/>
      <c r="C222" s="171"/>
      <c r="D222" s="18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:26" ht="13.5" customHeight="1" x14ac:dyDescent="0.15">
      <c r="A223" s="171"/>
      <c r="B223" s="172"/>
      <c r="C223" s="171"/>
      <c r="D223" s="18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:26" ht="13.5" customHeight="1" x14ac:dyDescent="0.15">
      <c r="A224" s="171"/>
      <c r="B224" s="172"/>
      <c r="C224" s="171"/>
      <c r="D224" s="18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:26" ht="13.5" customHeight="1" x14ac:dyDescent="0.15">
      <c r="A225" s="171"/>
      <c r="B225" s="172"/>
      <c r="C225" s="171"/>
      <c r="D225" s="18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:26" ht="13.5" customHeight="1" x14ac:dyDescent="0.15">
      <c r="A226" s="171"/>
      <c r="B226" s="172"/>
      <c r="C226" s="171"/>
      <c r="D226" s="18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:26" ht="13.5" customHeight="1" x14ac:dyDescent="0.15">
      <c r="A227" s="171"/>
      <c r="B227" s="172"/>
      <c r="C227" s="171"/>
      <c r="D227" s="18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spans="1:26" ht="13.5" customHeight="1" x14ac:dyDescent="0.15">
      <c r="A228" s="171"/>
      <c r="B228" s="172"/>
      <c r="C228" s="171"/>
      <c r="D228" s="18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spans="1:26" ht="13.5" customHeight="1" x14ac:dyDescent="0.15">
      <c r="A229" s="171"/>
      <c r="B229" s="172"/>
      <c r="C229" s="171"/>
      <c r="D229" s="18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spans="1:26" ht="13.5" customHeight="1" x14ac:dyDescent="0.15">
      <c r="A230" s="171"/>
      <c r="B230" s="172"/>
      <c r="C230" s="171"/>
      <c r="D230" s="18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spans="1:26" ht="13.5" customHeight="1" x14ac:dyDescent="0.15">
      <c r="A231" s="171"/>
      <c r="B231" s="172"/>
      <c r="C231" s="171"/>
      <c r="D231" s="18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spans="1:26" ht="13.5" customHeight="1" x14ac:dyDescent="0.15">
      <c r="A232" s="171"/>
      <c r="B232" s="172"/>
      <c r="C232" s="171"/>
      <c r="D232" s="18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spans="1:26" ht="13.5" customHeight="1" x14ac:dyDescent="0.15">
      <c r="A233" s="171"/>
      <c r="B233" s="172"/>
      <c r="C233" s="171"/>
      <c r="D233" s="18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spans="1:26" ht="13.5" customHeight="1" x14ac:dyDescent="0.15">
      <c r="A234" s="171"/>
      <c r="B234" s="172"/>
      <c r="C234" s="171"/>
      <c r="D234" s="18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spans="1:26" ht="13.5" customHeight="1" x14ac:dyDescent="0.15">
      <c r="A235" s="171"/>
      <c r="B235" s="172"/>
      <c r="C235" s="171"/>
      <c r="D235" s="18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spans="1:26" ht="13.5" customHeight="1" x14ac:dyDescent="0.15">
      <c r="A236" s="171"/>
      <c r="B236" s="172"/>
      <c r="C236" s="171"/>
      <c r="D236" s="18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spans="1:26" ht="13.5" customHeight="1" x14ac:dyDescent="0.15">
      <c r="A237" s="171"/>
      <c r="B237" s="172"/>
      <c r="C237" s="171"/>
      <c r="D237" s="18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spans="1:26" ht="13.5" customHeight="1" x14ac:dyDescent="0.15">
      <c r="A238" s="171"/>
      <c r="B238" s="172"/>
      <c r="C238" s="171"/>
      <c r="D238" s="18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spans="1:26" ht="13.5" customHeight="1" x14ac:dyDescent="0.15">
      <c r="A239" s="171"/>
      <c r="B239" s="172"/>
      <c r="C239" s="171"/>
      <c r="D239" s="18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spans="1:26" ht="13.5" customHeight="1" x14ac:dyDescent="0.15">
      <c r="A240" s="171"/>
      <c r="B240" s="172"/>
      <c r="C240" s="171"/>
      <c r="D240" s="18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spans="1:26" ht="13.5" customHeight="1" x14ac:dyDescent="0.15">
      <c r="A241" s="171"/>
      <c r="B241" s="172"/>
      <c r="C241" s="171"/>
      <c r="D241" s="18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spans="1:26" ht="13.5" customHeight="1" x14ac:dyDescent="0.15">
      <c r="A242" s="171"/>
      <c r="B242" s="172"/>
      <c r="C242" s="171"/>
      <c r="D242" s="18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spans="1:26" ht="13.5" customHeight="1" x14ac:dyDescent="0.15">
      <c r="A243" s="171"/>
      <c r="B243" s="172"/>
      <c r="C243" s="171"/>
      <c r="D243" s="18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spans="1:26" ht="13.5" customHeight="1" x14ac:dyDescent="0.15">
      <c r="A244" s="171"/>
      <c r="B244" s="172"/>
      <c r="C244" s="171"/>
      <c r="D244" s="18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spans="1:26" ht="13.5" customHeight="1" x14ac:dyDescent="0.15">
      <c r="A245" s="171"/>
      <c r="B245" s="172"/>
      <c r="C245" s="171"/>
      <c r="D245" s="18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spans="1:26" ht="13.5" customHeight="1" x14ac:dyDescent="0.15">
      <c r="A246" s="171"/>
      <c r="B246" s="172"/>
      <c r="C246" s="171"/>
      <c r="D246" s="18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spans="1:26" ht="13.5" customHeight="1" x14ac:dyDescent="0.15">
      <c r="A247" s="171"/>
      <c r="B247" s="172"/>
      <c r="C247" s="171"/>
      <c r="D247" s="18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spans="1:26" ht="13.5" customHeight="1" x14ac:dyDescent="0.15">
      <c r="A248" s="171"/>
      <c r="B248" s="172"/>
      <c r="C248" s="171"/>
      <c r="D248" s="18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spans="1:26" ht="13.5" customHeight="1" x14ac:dyDescent="0.15">
      <c r="A249" s="171"/>
      <c r="B249" s="172"/>
      <c r="C249" s="171"/>
      <c r="D249" s="18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spans="1:26" ht="13.5" customHeight="1" x14ac:dyDescent="0.15">
      <c r="A250" s="171"/>
      <c r="B250" s="172"/>
      <c r="C250" s="171"/>
      <c r="D250" s="18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spans="1:26" ht="13.5" customHeight="1" x14ac:dyDescent="0.15">
      <c r="A251" s="171"/>
      <c r="B251" s="172"/>
      <c r="C251" s="171"/>
      <c r="D251" s="18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spans="1:26" ht="13.5" customHeight="1" x14ac:dyDescent="0.15">
      <c r="A252" s="171"/>
      <c r="B252" s="172"/>
      <c r="C252" s="171"/>
      <c r="D252" s="18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8">
    <mergeCell ref="B51:D51"/>
    <mergeCell ref="B52:D52"/>
    <mergeCell ref="A6:B6"/>
    <mergeCell ref="C6:E6"/>
    <mergeCell ref="F6:K6"/>
    <mergeCell ref="A7:B7"/>
    <mergeCell ref="C7:E7"/>
    <mergeCell ref="F7:K7"/>
    <mergeCell ref="O6:T6"/>
    <mergeCell ref="O7:T7"/>
    <mergeCell ref="D20:E20"/>
    <mergeCell ref="B49:D49"/>
    <mergeCell ref="B50:D50"/>
    <mergeCell ref="L6:N6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50:M50" xr:uid="{00000000-0002-0000-0700-000000000000}">
      <formula1>"P,F"</formula1>
    </dataValidation>
    <dataValidation type="list" allowBlank="1" showInputMessage="1" showErrorMessage="1" prompt=" - " sqref="F10:M48" xr:uid="{00000000-0002-0000-0700-000001000000}">
      <formula1>"O"</formula1>
    </dataValidation>
    <dataValidation type="list" allowBlank="1" showInputMessage="1" showErrorMessage="1" prompt=" - " sqref="F49:M49" xr:uid="{00000000-0002-0000-0700-000002000000}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15</vt:i4>
      </vt:variant>
    </vt:vector>
  </HeadingPairs>
  <TitlesOfParts>
    <vt:vector size="23" baseType="lpstr">
      <vt:lpstr>Guidleline</vt:lpstr>
      <vt:lpstr>Cover</vt:lpstr>
      <vt:lpstr>FunctionList</vt:lpstr>
      <vt:lpstr>Test Report</vt:lpstr>
      <vt:lpstr>Login</vt:lpstr>
      <vt:lpstr>Update Profile</vt:lpstr>
      <vt:lpstr>Create Facility</vt:lpstr>
      <vt:lpstr>Update Facility</vt:lpstr>
      <vt:lpstr>'Create Facility'!Z_2C0D9096_8D85_462A_A9B5_0B488ADB4269_.wvu.Cols</vt:lpstr>
      <vt:lpstr>Login!Z_2C0D9096_8D85_462A_A9B5_0B488ADB4269_.wvu.Cols</vt:lpstr>
      <vt:lpstr>'Update Facility'!Z_2C0D9096_8D85_462A_A9B5_0B488ADB4269_.wvu.Cols</vt:lpstr>
      <vt:lpstr>'Update Profile'!Z_2C0D9096_8D85_462A_A9B5_0B488ADB4269_.wvu.Cols</vt:lpstr>
      <vt:lpstr>'Test Report'!Z_2C0D9096_8D85_462A_A9B5_0B488ADB4269_.wvu.PrintArea</vt:lpstr>
      <vt:lpstr>'Create Facility'!Z_6F1DCD5D_5DAC_4817_BF40_2B66F6F593E6_.wvu.Cols</vt:lpstr>
      <vt:lpstr>Login!Z_6F1DCD5D_5DAC_4817_BF40_2B66F6F593E6_.wvu.Cols</vt:lpstr>
      <vt:lpstr>'Update Facility'!Z_6F1DCD5D_5DAC_4817_BF40_2B66F6F593E6_.wvu.Cols</vt:lpstr>
      <vt:lpstr>'Update Profile'!Z_6F1DCD5D_5DAC_4817_BF40_2B66F6F593E6_.wvu.Cols</vt:lpstr>
      <vt:lpstr>'Test Report'!Z_6F1DCD5D_5DAC_4817_BF40_2B66F6F593E6_.wvu.PrintArea</vt:lpstr>
      <vt:lpstr>'Create Facility'!Z_BE54E0AD_3725_4423_92D7_4F1C045BE1BC_.wvu.Cols</vt:lpstr>
      <vt:lpstr>Login!Z_BE54E0AD_3725_4423_92D7_4F1C045BE1BC_.wvu.Cols</vt:lpstr>
      <vt:lpstr>'Update Facility'!Z_BE54E0AD_3725_4423_92D7_4F1C045BE1BC_.wvu.Cols</vt:lpstr>
      <vt:lpstr>'Update Profile'!Z_BE54E0AD_3725_4423_92D7_4F1C045BE1BC_.wvu.Cols</vt:lpstr>
      <vt:lpstr>'Test Report'!Z_BE54E0AD_3725_4423_92D7_4F1C045BE1BC_.wvu.PrintArea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xuân</cp:lastModifiedBy>
  <dcterms:created xsi:type="dcterms:W3CDTF">2025-11-04T09:03:28Z</dcterms:created>
  <dcterms:modified xsi:type="dcterms:W3CDTF">2025-11-04T09:03:28Z</dcterms:modified>
</cp:coreProperties>
</file>